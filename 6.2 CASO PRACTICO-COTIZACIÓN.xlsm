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iarte\Videos\Captures\CURSOS\REPOSITORIO DMC\MACROS Y VBA EN EXCEL\"/>
    </mc:Choice>
  </mc:AlternateContent>
  <bookViews>
    <workbookView xWindow="-120" yWindow="-120" windowWidth="29040" windowHeight="15840"/>
  </bookViews>
  <sheets>
    <sheet name="COTIZACIÓN" sheetId="1" r:id="rId1"/>
    <sheet name="Datos_Principales" sheetId="2" r:id="rId2"/>
    <sheet name="Detalle_Servicio" sheetId="3" r:id="rId3"/>
  </sheets>
  <definedNames>
    <definedName name="_xlnm.Print_Area" localSheetId="0">COTIZACIÓN!$A$2:$E$42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1" l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 l="1"/>
  <c r="E35" i="1" s="1"/>
</calcChain>
</file>

<file path=xl/sharedStrings.xml><?xml version="1.0" encoding="utf-8"?>
<sst xmlns="http://schemas.openxmlformats.org/spreadsheetml/2006/main" count="98" uniqueCount="79">
  <si>
    <t>Ricardo Crispín Morris</t>
  </si>
  <si>
    <t>COTIZACIÓN</t>
  </si>
  <si>
    <t>CLIENTE</t>
  </si>
  <si>
    <t>DESCRIPCIÓN</t>
  </si>
  <si>
    <t>PRECIO UNIT.</t>
  </si>
  <si>
    <t>CANT.</t>
  </si>
  <si>
    <t>TOTAL</t>
  </si>
  <si>
    <t>Subtotal</t>
  </si>
  <si>
    <t>TÉRMINOS Y CONDICIONES</t>
  </si>
  <si>
    <t>1.Al cliente se le cobrará después de aceptada esta cotización</t>
  </si>
  <si>
    <t>Impuesto %</t>
  </si>
  <si>
    <t>2. El pago será debitado antes de la entrega de bienes y servicios</t>
  </si>
  <si>
    <t>3. Por favor enviar la cotización firmada al email indicado anteriormente</t>
  </si>
  <si>
    <t>La aceptación del cliente (firmar a continuación):</t>
  </si>
  <si>
    <t>x ___________________________________________</t>
  </si>
  <si>
    <t>Av. José Galvez 745</t>
  </si>
  <si>
    <t>Lima, Lima, La Victoria</t>
  </si>
  <si>
    <t>Asesor de venta:</t>
  </si>
  <si>
    <t xml:space="preserve">Nombre: </t>
  </si>
  <si>
    <t>Dirección</t>
  </si>
  <si>
    <t>Teléfono</t>
  </si>
  <si>
    <t>RUC:</t>
  </si>
  <si>
    <t>Dirección:</t>
  </si>
  <si>
    <t>Sitio Web:</t>
  </si>
  <si>
    <t>Teléfono:</t>
  </si>
  <si>
    <t>C-P-Distrito:</t>
  </si>
  <si>
    <t>Razón Social:</t>
  </si>
  <si>
    <t>Cotización:</t>
  </si>
  <si>
    <t>Fecha:</t>
  </si>
  <si>
    <t>Vencimiento:</t>
  </si>
  <si>
    <t>Fecha de Venta</t>
  </si>
  <si>
    <t>N°Cotización</t>
  </si>
  <si>
    <t>Nombre_Contacto</t>
  </si>
  <si>
    <t>Razón Social</t>
  </si>
  <si>
    <t>Nombre del cliente:</t>
  </si>
  <si>
    <t>Descripción</t>
  </si>
  <si>
    <t>Precio</t>
  </si>
  <si>
    <t>Cantidad</t>
  </si>
  <si>
    <t>Cliente 1</t>
  </si>
  <si>
    <t>Cliente 10</t>
  </si>
  <si>
    <t>Cliente 2</t>
  </si>
  <si>
    <t>Contacto 1</t>
  </si>
  <si>
    <t>Contacto 10</t>
  </si>
  <si>
    <t>Contacto 2</t>
  </si>
  <si>
    <t>Contacto 3</t>
  </si>
  <si>
    <t>Contacto 4</t>
  </si>
  <si>
    <t>Contacto 5</t>
  </si>
  <si>
    <t>Contacto 6</t>
  </si>
  <si>
    <t>Contacto 7</t>
  </si>
  <si>
    <t>Contacto 8</t>
  </si>
  <si>
    <t>Contacto 9</t>
  </si>
  <si>
    <t>Dirección 1</t>
  </si>
  <si>
    <t>Dirección 2</t>
  </si>
  <si>
    <t>Cliente 3</t>
  </si>
  <si>
    <t>Dirección 3</t>
  </si>
  <si>
    <t>Cliente 4</t>
  </si>
  <si>
    <t>Dirección 4</t>
  </si>
  <si>
    <t>Cliente 5</t>
  </si>
  <si>
    <t>Dirección 5</t>
  </si>
  <si>
    <t>Cliente 6</t>
  </si>
  <si>
    <t>Dirección 6</t>
  </si>
  <si>
    <t>Cliente 7</t>
  </si>
  <si>
    <t>Dirección 7</t>
  </si>
  <si>
    <t>Cliente 8</t>
  </si>
  <si>
    <t>Dirección 8</t>
  </si>
  <si>
    <t>Cliente 9</t>
  </si>
  <si>
    <t>Dirección 9</t>
  </si>
  <si>
    <t>Dirección 10</t>
  </si>
  <si>
    <t>Capacitación en Excel</t>
  </si>
  <si>
    <t>Capacitación en Macros</t>
  </si>
  <si>
    <t>Capacitación en Paneles</t>
  </si>
  <si>
    <t>Consultoría Power BI</t>
  </si>
  <si>
    <t>Capacitación Excel Bas</t>
  </si>
  <si>
    <t>Capacitación Excel Int</t>
  </si>
  <si>
    <t>Capacitación Excel Ava</t>
  </si>
  <si>
    <t>Capacitación Macros</t>
  </si>
  <si>
    <t>Capacitación Excel BI</t>
  </si>
  <si>
    <t>https://www.linkedin.com/in/ricardo-crispin-morris/</t>
  </si>
  <si>
    <t>944-609-222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</si>
</sst>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000#"/>
    <numFmt numFmtId="167" formatCode="&quot;S/&quot;\ #,##0.00"/>
    <numFmt numFmtId="168" formatCode="[$S/-C6B]\ #,##0.00;[Red][$S/-C6B]\ \-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indexed="9"/>
      <name val="Calibri Light"/>
      <family val="1"/>
      <scheme val="major"/>
    </font>
    <font>
      <b/>
      <sz val="10"/>
      <color indexed="9"/>
      <name val="Calibri Light"/>
      <family val="1"/>
      <scheme val="major"/>
    </font>
    <font>
      <sz val="11"/>
      <name val="Calibri"/>
      <family val="2"/>
      <scheme val="minor"/>
    </font>
    <font>
      <i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color rgb="FF186672"/>
      <name val="Arial"/>
      <family val="2"/>
    </font>
    <font>
      <b/>
      <sz val="20"/>
      <color rgb="FF186672"/>
      <name val="Calibri Light"/>
      <family val="2"/>
      <scheme val="major"/>
    </font>
    <font>
      <b/>
      <sz val="26"/>
      <color rgb="FF186672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8667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499984740745262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0" tint="-0.499984740745262"/>
      </right>
      <top style="thin">
        <color theme="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Protection="1">
      <protection locked="0"/>
    </xf>
    <xf numFmtId="164" fontId="2" fillId="0" borderId="5" xfId="1" applyNumberFormat="1" applyFont="1" applyBorder="1" applyProtection="1">
      <protection locked="0"/>
    </xf>
    <xf numFmtId="0" fontId="2" fillId="0" borderId="5" xfId="0" applyFont="1" applyBorder="1" applyAlignment="1" applyProtection="1">
      <alignment horizontal="center"/>
      <protection locked="0"/>
    </xf>
    <xf numFmtId="164" fontId="2" fillId="2" borderId="5" xfId="1" applyNumberFormat="1" applyFont="1" applyFill="1" applyBorder="1" applyProtection="1"/>
    <xf numFmtId="0" fontId="2" fillId="0" borderId="6" xfId="0" applyFont="1" applyBorder="1"/>
    <xf numFmtId="0" fontId="5" fillId="0" borderId="0" xfId="0" applyFont="1"/>
    <xf numFmtId="165" fontId="2" fillId="0" borderId="13" xfId="0" applyNumberFormat="1" applyFont="1" applyBorder="1" applyProtection="1">
      <protection locked="0"/>
    </xf>
    <xf numFmtId="0" fontId="3" fillId="4" borderId="0" xfId="0" applyFont="1" applyFill="1" applyAlignment="1">
      <alignment horizontal="left"/>
    </xf>
    <xf numFmtId="0" fontId="4" fillId="4" borderId="0" xfId="0" applyFont="1" applyFill="1" applyAlignment="1">
      <alignment horizontal="center"/>
    </xf>
    <xf numFmtId="0" fontId="2" fillId="0" borderId="0" xfId="0" applyFont="1" applyAlignment="1" applyProtection="1">
      <alignment horizontal="right"/>
      <protection locked="0"/>
    </xf>
    <xf numFmtId="0" fontId="2" fillId="4" borderId="0" xfId="0" applyFont="1" applyFill="1"/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  <xf numFmtId="0" fontId="12" fillId="0" borderId="0" xfId="0" applyFont="1"/>
    <xf numFmtId="0" fontId="13" fillId="0" borderId="0" xfId="0" applyFont="1" applyAlignment="1" applyProtection="1">
      <alignment horizontal="right"/>
      <protection locked="0"/>
    </xf>
    <xf numFmtId="0" fontId="14" fillId="0" borderId="0" xfId="0" applyFont="1"/>
    <xf numFmtId="0" fontId="13" fillId="0" borderId="0" xfId="0" applyFont="1" applyAlignment="1">
      <alignment horizontal="right" indent="1"/>
    </xf>
    <xf numFmtId="0" fontId="2" fillId="0" borderId="6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11" fillId="0" borderId="0" xfId="0" applyFont="1" applyAlignment="1"/>
    <xf numFmtId="14" fontId="12" fillId="0" borderId="1" xfId="0" applyNumberFormat="1" applyFont="1" applyBorder="1" applyAlignment="1" applyProtection="1">
      <alignment horizontal="center"/>
      <protection locked="0"/>
    </xf>
    <xf numFmtId="14" fontId="12" fillId="0" borderId="1" xfId="0" applyNumberFormat="1" applyFont="1" applyBorder="1" applyAlignment="1">
      <alignment horizontal="center"/>
    </xf>
    <xf numFmtId="166" fontId="12" fillId="0" borderId="2" xfId="0" applyNumberFormat="1" applyFont="1" applyBorder="1" applyAlignment="1" applyProtection="1">
      <alignment horizontal="center"/>
      <protection locked="0"/>
    </xf>
    <xf numFmtId="166" fontId="0" fillId="0" borderId="0" xfId="0" applyNumberFormat="1"/>
    <xf numFmtId="14" fontId="0" fillId="0" borderId="0" xfId="0" applyNumberFormat="1"/>
    <xf numFmtId="167" fontId="0" fillId="0" borderId="0" xfId="0" applyNumberFormat="1"/>
    <xf numFmtId="2" fontId="0" fillId="0" borderId="0" xfId="0" applyNumberFormat="1"/>
    <xf numFmtId="168" fontId="2" fillId="0" borderId="6" xfId="0" applyNumberFormat="1" applyFont="1" applyBorder="1"/>
    <xf numFmtId="168" fontId="8" fillId="3" borderId="0" xfId="0" applyNumberFormat="1" applyFont="1" applyFill="1"/>
    <xf numFmtId="0" fontId="16" fillId="0" borderId="0" xfId="2" applyFont="1" applyAlignment="1">
      <alignment horizontal="left"/>
    </xf>
    <xf numFmtId="0" fontId="2" fillId="0" borderId="16" xfId="0" applyFont="1" applyBorder="1" applyAlignment="1" applyProtection="1">
      <alignment horizontal="left" vertical="top"/>
      <protection locked="0"/>
    </xf>
    <xf numFmtId="0" fontId="2" fillId="0" borderId="17" xfId="0" applyFont="1" applyBorder="1" applyAlignment="1" applyProtection="1">
      <alignment horizontal="left" vertical="top"/>
      <protection locked="0"/>
    </xf>
    <xf numFmtId="0" fontId="2" fillId="0" borderId="18" xfId="0" applyFont="1" applyBorder="1" applyAlignment="1" applyProtection="1">
      <alignment horizontal="left" vertical="top"/>
      <protection locked="0"/>
    </xf>
    <xf numFmtId="0" fontId="10" fillId="0" borderId="0" xfId="0" applyFont="1" applyAlignment="1">
      <alignment horizontal="right"/>
    </xf>
    <xf numFmtId="0" fontId="6" fillId="0" borderId="14" xfId="0" applyFont="1" applyBorder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6" fillId="0" borderId="15" xfId="0" applyFont="1" applyBorder="1" applyAlignment="1" applyProtection="1">
      <alignment horizontal="left" vertical="top"/>
      <protection locked="0"/>
    </xf>
    <xf numFmtId="0" fontId="2" fillId="0" borderId="14" xfId="0" applyFont="1" applyBorder="1" applyAlignment="1" applyProtection="1">
      <alignment horizontal="left" vertical="top"/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2" fillId="0" borderId="15" xfId="0" applyFont="1" applyBorder="1" applyAlignment="1" applyProtection="1">
      <alignment horizontal="left" vertical="top"/>
      <protection locked="0"/>
    </xf>
    <xf numFmtId="0" fontId="8" fillId="0" borderId="14" xfId="0" applyFont="1" applyBorder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/>
      <protection locked="0"/>
    </xf>
    <xf numFmtId="0" fontId="8" fillId="0" borderId="15" xfId="0" applyFont="1" applyBorder="1" applyAlignment="1" applyProtection="1">
      <alignment horizontal="left" vertical="top"/>
      <protection locked="0"/>
    </xf>
    <xf numFmtId="0" fontId="2" fillId="0" borderId="0" xfId="0" applyFont="1" applyAlignment="1">
      <alignment horizontal="center" vertical="top"/>
    </xf>
    <xf numFmtId="0" fontId="8" fillId="0" borderId="0" xfId="0" applyFont="1" applyAlignment="1" applyProtection="1">
      <alignment horizontal="center" vertical="top"/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0" borderId="4" xfId="0" applyFont="1" applyBorder="1" applyAlignment="1" applyProtection="1">
      <alignment horizontal="left"/>
      <protection locked="0"/>
    </xf>
    <xf numFmtId="0" fontId="4" fillId="4" borderId="7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2" fillId="0" borderId="10" xfId="0" applyFont="1" applyBorder="1" applyAlignment="1" applyProtection="1">
      <alignment horizontal="left" vertical="top"/>
      <protection locked="0"/>
    </xf>
    <xf numFmtId="0" fontId="2" fillId="0" borderId="11" xfId="0" applyFont="1" applyBorder="1" applyAlignment="1" applyProtection="1">
      <alignment horizontal="left" vertical="top"/>
      <protection locked="0"/>
    </xf>
    <xf numFmtId="0" fontId="2" fillId="0" borderId="12" xfId="0" applyFont="1" applyBorder="1" applyAlignment="1" applyProtection="1">
      <alignment horizontal="left" vertical="top"/>
      <protection locked="0"/>
    </xf>
    <xf numFmtId="0" fontId="9" fillId="0" borderId="0" xfId="0" applyFont="1" applyAlignment="1" applyProtection="1">
      <alignment horizontal="left" vertical="center" indent="5"/>
      <protection locked="0"/>
    </xf>
    <xf numFmtId="0" fontId="4" fillId="4" borderId="0" xfId="0" applyFont="1" applyFill="1" applyAlignment="1">
      <alignment horizontal="left"/>
    </xf>
  </cellXfs>
  <cellStyles count="3">
    <cellStyle name="Hipervínculo" xfId="2" builtinId="8"/>
    <cellStyle name="Millares" xfId="1" builtinId="3"/>
    <cellStyle name="Normal" xfId="0" builtinId="0"/>
  </cellStyles>
  <dxfs count="7">
    <dxf>
      <numFmt numFmtId="2" formatCode="0.00"/>
    </dxf>
    <dxf>
      <numFmt numFmtId="167" formatCode="&quot;S/&quot;\ #,##0.00"/>
    </dxf>
    <dxf>
      <numFmt numFmtId="166" formatCode="000#"/>
    </dxf>
    <dxf>
      <numFmt numFmtId="0" formatCode="General"/>
    </dxf>
    <dxf>
      <numFmt numFmtId="0" formatCode="General"/>
    </dxf>
    <dxf>
      <numFmt numFmtId="166" formatCode="000#"/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186672"/>
      <color rgb="FF0C45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18585</xdr:colOff>
      <xdr:row>1</xdr:row>
      <xdr:rowOff>15001</xdr:rowOff>
    </xdr:from>
    <xdr:to>
      <xdr:col>0</xdr:col>
      <xdr:colOff>436755</xdr:colOff>
      <xdr:row>2</xdr:row>
      <xdr:rowOff>4858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B578BB8-1A3F-4BAB-BC8A-38FBC51C8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85" y="205501"/>
          <a:ext cx="418170" cy="420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9</xdr:row>
          <xdr:rowOff>129540</xdr:rowOff>
        </xdr:from>
        <xdr:to>
          <xdr:col>4</xdr:col>
          <xdr:colOff>838200</xdr:colOff>
          <xdr:row>12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COTIZACION MASIVA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11" totalsRowShown="0">
  <autoFilter ref="A1:F11"/>
  <tableColumns count="6">
    <tableColumn id="2" name="N°Cotización" dataDxfId="5"/>
    <tableColumn id="1" name="Fecha de Venta"/>
    <tableColumn id="3" name="Nombre_Contacto"/>
    <tableColumn id="4" name="Razón Social" dataDxfId="4"/>
    <tableColumn id="5" name="Dirección" dataDxfId="3"/>
    <tableColumn id="6" name="Teléfo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A1:D20" totalsRowShown="0">
  <autoFilter ref="A1:D20"/>
  <tableColumns count="4">
    <tableColumn id="2" name="N°Cotización" dataDxfId="2"/>
    <tableColumn id="7" name="Descripción"/>
    <tableColumn id="8" name="Precio" dataDxfId="1"/>
    <tableColumn id="9" name="Cantida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ricardo-crispin-morri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2:F42"/>
  <sheetViews>
    <sheetView showGridLines="0" tabSelected="1" zoomScale="70" zoomScaleNormal="70" workbookViewId="0">
      <selection activeCell="F15" sqref="F15"/>
    </sheetView>
  </sheetViews>
  <sheetFormatPr baseColWidth="10" defaultColWidth="0" defaultRowHeight="14.4" x14ac:dyDescent="0.3"/>
  <cols>
    <col min="1" max="1" width="16.109375" customWidth="1"/>
    <col min="2" max="2" width="25.5546875" customWidth="1"/>
    <col min="3" max="4" width="16.33203125" customWidth="1"/>
    <col min="5" max="5" width="15.109375" customWidth="1"/>
    <col min="6" max="6" width="11.44140625" customWidth="1"/>
    <col min="7" max="16384" width="11.44140625" hidden="1"/>
  </cols>
  <sheetData>
    <row r="2" spans="1:6" ht="33.6" x14ac:dyDescent="0.65">
      <c r="A2" s="56" t="s">
        <v>0</v>
      </c>
      <c r="B2" s="56"/>
      <c r="C2" s="56"/>
      <c r="D2" s="36" t="s">
        <v>1</v>
      </c>
      <c r="E2" s="36"/>
      <c r="F2" s="22"/>
    </row>
    <row r="3" spans="1:6" x14ac:dyDescent="0.3">
      <c r="A3" s="16" t="s">
        <v>21</v>
      </c>
      <c r="B3" s="13">
        <v>10706903661</v>
      </c>
      <c r="C3" s="2"/>
      <c r="D3" s="1"/>
      <c r="E3" s="1"/>
      <c r="F3" s="1"/>
    </row>
    <row r="4" spans="1:6" x14ac:dyDescent="0.3">
      <c r="A4" s="16" t="s">
        <v>22</v>
      </c>
      <c r="B4" s="14" t="s">
        <v>15</v>
      </c>
      <c r="C4" s="1"/>
      <c r="D4" s="18" t="s">
        <v>28</v>
      </c>
      <c r="E4" s="23">
        <v>44610</v>
      </c>
    </row>
    <row r="5" spans="1:6" x14ac:dyDescent="0.3">
      <c r="A5" s="16" t="s">
        <v>25</v>
      </c>
      <c r="B5" s="14" t="s">
        <v>16</v>
      </c>
      <c r="C5" s="1"/>
      <c r="D5" s="18" t="s">
        <v>27</v>
      </c>
      <c r="E5" s="25">
        <v>10</v>
      </c>
    </row>
    <row r="6" spans="1:6" x14ac:dyDescent="0.3">
      <c r="A6" s="16" t="s">
        <v>23</v>
      </c>
      <c r="B6" s="32" t="s">
        <v>77</v>
      </c>
      <c r="C6" s="1"/>
      <c r="D6" s="18" t="s">
        <v>29</v>
      </c>
      <c r="E6" s="24"/>
    </row>
    <row r="7" spans="1:6" x14ac:dyDescent="0.3">
      <c r="A7" s="16" t="s">
        <v>24</v>
      </c>
      <c r="B7" s="14" t="s">
        <v>78</v>
      </c>
      <c r="C7" s="1"/>
      <c r="D7" s="1"/>
      <c r="E7" s="1"/>
      <c r="F7" s="1"/>
    </row>
    <row r="8" spans="1:6" x14ac:dyDescent="0.3">
      <c r="A8" s="16" t="s">
        <v>17</v>
      </c>
      <c r="B8" s="15"/>
      <c r="C8" s="1"/>
      <c r="D8" s="1"/>
      <c r="E8" s="1"/>
      <c r="F8" s="1"/>
    </row>
    <row r="9" spans="1:6" ht="5.25" customHeight="1" x14ac:dyDescent="0.3">
      <c r="A9" s="11"/>
      <c r="B9" s="1"/>
      <c r="C9" s="1"/>
      <c r="D9" s="1"/>
      <c r="E9" s="1"/>
      <c r="F9" s="1"/>
    </row>
    <row r="10" spans="1:6" x14ac:dyDescent="0.3">
      <c r="A10" s="9" t="s">
        <v>2</v>
      </c>
      <c r="B10" s="12"/>
      <c r="C10" s="1"/>
      <c r="D10" s="1"/>
      <c r="E10" s="1"/>
      <c r="F10" s="1"/>
    </row>
    <row r="11" spans="1:6" x14ac:dyDescent="0.3">
      <c r="A11" s="16" t="s">
        <v>18</v>
      </c>
      <c r="B11" s="17" t="s">
        <v>42</v>
      </c>
      <c r="C11" s="1"/>
      <c r="D11" s="1"/>
      <c r="E11" s="1"/>
      <c r="F11" s="1"/>
    </row>
    <row r="12" spans="1:6" x14ac:dyDescent="0.3">
      <c r="A12" s="16" t="s">
        <v>26</v>
      </c>
      <c r="B12" s="17" t="s">
        <v>39</v>
      </c>
      <c r="C12" s="1"/>
      <c r="D12" s="1"/>
      <c r="E12" s="1"/>
      <c r="F12" s="1"/>
    </row>
    <row r="13" spans="1:6" x14ac:dyDescent="0.3">
      <c r="A13" s="16" t="s">
        <v>22</v>
      </c>
      <c r="B13" s="17" t="s">
        <v>67</v>
      </c>
      <c r="C13" s="1"/>
      <c r="D13" s="1"/>
      <c r="E13" s="1"/>
      <c r="F13" s="1"/>
    </row>
    <row r="14" spans="1:6" x14ac:dyDescent="0.3">
      <c r="A14" s="16" t="s">
        <v>24</v>
      </c>
      <c r="B14" s="17">
        <v>984822158</v>
      </c>
      <c r="C14" s="1"/>
      <c r="D14" s="1"/>
      <c r="E14" s="1"/>
      <c r="F14" s="1"/>
    </row>
    <row r="15" spans="1:6" x14ac:dyDescent="0.3">
      <c r="A15" s="1"/>
      <c r="B15" s="1"/>
      <c r="C15" s="1"/>
      <c r="D15" s="1"/>
      <c r="E15" s="1"/>
      <c r="F15" s="1"/>
    </row>
    <row r="16" spans="1:6" x14ac:dyDescent="0.3">
      <c r="A16" s="57" t="s">
        <v>3</v>
      </c>
      <c r="B16" s="57"/>
      <c r="C16" s="10" t="s">
        <v>4</v>
      </c>
      <c r="D16" s="10" t="s">
        <v>5</v>
      </c>
      <c r="E16" s="10" t="s">
        <v>6</v>
      </c>
    </row>
    <row r="17" spans="1:5" x14ac:dyDescent="0.3">
      <c r="A17" s="48" t="s">
        <v>69</v>
      </c>
      <c r="B17" s="49"/>
      <c r="C17" s="3">
        <v>110</v>
      </c>
      <c r="D17" s="4">
        <v>12</v>
      </c>
      <c r="E17" s="5">
        <f t="shared" ref="E17:E32" si="0">IF(D17="",0,D17)*C17</f>
        <v>1320</v>
      </c>
    </row>
    <row r="18" spans="1:5" x14ac:dyDescent="0.3">
      <c r="A18" s="48" t="s">
        <v>70</v>
      </c>
      <c r="B18" s="49"/>
      <c r="C18" s="3">
        <v>100</v>
      </c>
      <c r="D18" s="4">
        <v>12</v>
      </c>
      <c r="E18" s="5">
        <f t="shared" si="0"/>
        <v>1200</v>
      </c>
    </row>
    <row r="19" spans="1:5" x14ac:dyDescent="0.3">
      <c r="A19" s="48"/>
      <c r="B19" s="49"/>
      <c r="C19" s="3"/>
      <c r="D19" s="4"/>
      <c r="E19" s="5">
        <f t="shared" si="0"/>
        <v>0</v>
      </c>
    </row>
    <row r="20" spans="1:5" x14ac:dyDescent="0.3">
      <c r="A20" s="48"/>
      <c r="B20" s="49"/>
      <c r="C20" s="3"/>
      <c r="D20" s="4"/>
      <c r="E20" s="5">
        <f t="shared" si="0"/>
        <v>0</v>
      </c>
    </row>
    <row r="21" spans="1:5" x14ac:dyDescent="0.3">
      <c r="A21" s="48"/>
      <c r="B21" s="49"/>
      <c r="C21" s="3"/>
      <c r="D21" s="4"/>
      <c r="E21" s="5">
        <f t="shared" si="0"/>
        <v>0</v>
      </c>
    </row>
    <row r="22" spans="1:5" x14ac:dyDescent="0.3">
      <c r="A22" s="48"/>
      <c r="B22" s="49"/>
      <c r="C22" s="3"/>
      <c r="D22" s="4"/>
      <c r="E22" s="5">
        <f t="shared" si="0"/>
        <v>0</v>
      </c>
    </row>
    <row r="23" spans="1:5" x14ac:dyDescent="0.3">
      <c r="A23" s="48"/>
      <c r="B23" s="49"/>
      <c r="C23" s="3"/>
      <c r="D23" s="4"/>
      <c r="E23" s="5">
        <f t="shared" si="0"/>
        <v>0</v>
      </c>
    </row>
    <row r="24" spans="1:5" x14ac:dyDescent="0.3">
      <c r="A24" s="48"/>
      <c r="B24" s="49"/>
      <c r="C24" s="3"/>
      <c r="D24" s="4"/>
      <c r="E24" s="5">
        <f t="shared" si="0"/>
        <v>0</v>
      </c>
    </row>
    <row r="25" spans="1:5" x14ac:dyDescent="0.3">
      <c r="A25" s="48"/>
      <c r="B25" s="49"/>
      <c r="C25" s="3"/>
      <c r="D25" s="4"/>
      <c r="E25" s="5">
        <f t="shared" si="0"/>
        <v>0</v>
      </c>
    </row>
    <row r="26" spans="1:5" x14ac:dyDescent="0.3">
      <c r="A26" s="48"/>
      <c r="B26" s="49"/>
      <c r="C26" s="3"/>
      <c r="D26" s="4"/>
      <c r="E26" s="5">
        <f t="shared" si="0"/>
        <v>0</v>
      </c>
    </row>
    <row r="27" spans="1:5" x14ac:dyDescent="0.3">
      <c r="A27" s="48"/>
      <c r="B27" s="49"/>
      <c r="C27" s="3"/>
      <c r="D27" s="4"/>
      <c r="E27" s="5">
        <f t="shared" si="0"/>
        <v>0</v>
      </c>
    </row>
    <row r="28" spans="1:5" x14ac:dyDescent="0.3">
      <c r="A28" s="48"/>
      <c r="B28" s="49"/>
      <c r="C28" s="3"/>
      <c r="D28" s="4"/>
      <c r="E28" s="5">
        <f t="shared" si="0"/>
        <v>0</v>
      </c>
    </row>
    <row r="29" spans="1:5" x14ac:dyDescent="0.3">
      <c r="A29" s="48"/>
      <c r="B29" s="49"/>
      <c r="C29" s="3"/>
      <c r="D29" s="4"/>
      <c r="E29" s="5">
        <f t="shared" si="0"/>
        <v>0</v>
      </c>
    </row>
    <row r="30" spans="1:5" x14ac:dyDescent="0.3">
      <c r="A30" s="48"/>
      <c r="B30" s="49"/>
      <c r="C30" s="3"/>
      <c r="D30" s="4"/>
      <c r="E30" s="5">
        <f t="shared" si="0"/>
        <v>0</v>
      </c>
    </row>
    <row r="31" spans="1:5" x14ac:dyDescent="0.3">
      <c r="A31" s="48"/>
      <c r="B31" s="49"/>
      <c r="C31" s="3"/>
      <c r="D31" s="4"/>
      <c r="E31" s="5">
        <f t="shared" si="0"/>
        <v>0</v>
      </c>
    </row>
    <row r="32" spans="1:5" x14ac:dyDescent="0.3">
      <c r="A32" s="48"/>
      <c r="B32" s="49"/>
      <c r="C32" s="3"/>
      <c r="D32" s="4"/>
      <c r="E32" s="5">
        <f t="shared" si="0"/>
        <v>0</v>
      </c>
    </row>
    <row r="33" spans="1:6" x14ac:dyDescent="0.3">
      <c r="A33" s="6"/>
      <c r="B33" s="6"/>
      <c r="C33" s="6"/>
      <c r="D33" s="19" t="s">
        <v>7</v>
      </c>
      <c r="E33" s="30">
        <f>SUM(E17:E32)</f>
        <v>2520</v>
      </c>
    </row>
    <row r="34" spans="1:6" x14ac:dyDescent="0.3">
      <c r="A34" s="50" t="s">
        <v>8</v>
      </c>
      <c r="B34" s="51"/>
      <c r="C34" s="52"/>
      <c r="D34" s="20" t="s">
        <v>10</v>
      </c>
      <c r="E34" s="8">
        <v>0.18</v>
      </c>
    </row>
    <row r="35" spans="1:6" x14ac:dyDescent="0.3">
      <c r="A35" s="53" t="s">
        <v>9</v>
      </c>
      <c r="B35" s="54"/>
      <c r="C35" s="55"/>
      <c r="D35" s="21" t="s">
        <v>6</v>
      </c>
      <c r="E35" s="31">
        <f>E33+E33*E34</f>
        <v>2973.6</v>
      </c>
    </row>
    <row r="36" spans="1:6" x14ac:dyDescent="0.3">
      <c r="A36" s="40" t="s">
        <v>11</v>
      </c>
      <c r="B36" s="41"/>
      <c r="C36" s="42"/>
      <c r="D36" s="7"/>
      <c r="E36" s="1"/>
      <c r="F36" s="1"/>
    </row>
    <row r="37" spans="1:6" x14ac:dyDescent="0.3">
      <c r="A37" s="40" t="s">
        <v>12</v>
      </c>
      <c r="B37" s="41"/>
      <c r="C37" s="42"/>
      <c r="D37" s="7"/>
      <c r="E37" s="46"/>
      <c r="F37" s="46"/>
    </row>
    <row r="38" spans="1:6" x14ac:dyDescent="0.3">
      <c r="A38" s="37" t="s">
        <v>13</v>
      </c>
      <c r="B38" s="38"/>
      <c r="C38" s="39"/>
      <c r="D38" s="7"/>
      <c r="E38" s="47"/>
      <c r="F38" s="47"/>
    </row>
    <row r="39" spans="1:6" x14ac:dyDescent="0.3">
      <c r="A39" s="40"/>
      <c r="B39" s="41"/>
      <c r="C39" s="42"/>
      <c r="D39" s="1"/>
      <c r="E39" s="1"/>
      <c r="F39" s="1"/>
    </row>
    <row r="40" spans="1:6" x14ac:dyDescent="0.3">
      <c r="A40" s="43" t="s">
        <v>14</v>
      </c>
      <c r="B40" s="44"/>
      <c r="C40" s="45"/>
      <c r="D40" s="1"/>
    </row>
    <row r="41" spans="1:6" x14ac:dyDescent="0.3">
      <c r="A41" s="40" t="s">
        <v>34</v>
      </c>
      <c r="B41" s="41"/>
      <c r="C41" s="42"/>
      <c r="D41" s="1"/>
    </row>
    <row r="42" spans="1:6" ht="10.5" customHeight="1" x14ac:dyDescent="0.3">
      <c r="A42" s="33"/>
      <c r="B42" s="34"/>
      <c r="C42" s="35"/>
      <c r="D42" s="1"/>
    </row>
  </sheetData>
  <mergeCells count="30">
    <mergeCell ref="A2:C2"/>
    <mergeCell ref="A16:B16"/>
    <mergeCell ref="A17:B17"/>
    <mergeCell ref="A18:B18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42:C42"/>
    <mergeCell ref="D2:E2"/>
    <mergeCell ref="A38:C38"/>
    <mergeCell ref="A39:C39"/>
    <mergeCell ref="A40:C40"/>
    <mergeCell ref="E37:F37"/>
    <mergeCell ref="A41:C41"/>
    <mergeCell ref="E38:F38"/>
    <mergeCell ref="A31:B31"/>
    <mergeCell ref="A32:B32"/>
    <mergeCell ref="A34:C34"/>
    <mergeCell ref="A35:C35"/>
    <mergeCell ref="A36:C36"/>
    <mergeCell ref="A37:C37"/>
    <mergeCell ref="A25:B25"/>
    <mergeCell ref="A26:B26"/>
  </mergeCells>
  <conditionalFormatting sqref="A17:A32 C17:E32">
    <cfRule type="expression" dxfId="6" priority="1" stopIfTrue="1">
      <formula>MOD(ROW(),2)=1</formula>
    </cfRule>
  </conditionalFormatting>
  <hyperlinks>
    <hyperlink ref="B6" r:id="rId1"/>
  </hyperlinks>
  <printOptions horizontalCentered="1"/>
  <pageMargins left="0.70866141732283472" right="0.70866141732283472" top="0.74803149606299213" bottom="0.74803149606299213" header="0.31496062992125984" footer="0.31496062992125984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TIZACION_MASIVA">
                <anchor moveWithCells="1" sizeWithCells="1">
                  <from>
                    <xdr:col>2</xdr:col>
                    <xdr:colOff>1059180</xdr:colOff>
                    <xdr:row>9</xdr:row>
                    <xdr:rowOff>129540</xdr:rowOff>
                  </from>
                  <to>
                    <xdr:col>4</xdr:col>
                    <xdr:colOff>838200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1"/>
  <sheetViews>
    <sheetView zoomScale="160" zoomScaleNormal="160" workbookViewId="0">
      <selection activeCell="C9" sqref="C9"/>
    </sheetView>
  </sheetViews>
  <sheetFormatPr baseColWidth="10" defaultRowHeight="14.4" x14ac:dyDescent="0.3"/>
  <cols>
    <col min="1" max="1" width="14.44140625" customWidth="1"/>
    <col min="2" max="2" width="16.6640625" customWidth="1"/>
    <col min="3" max="3" width="19.5546875" bestFit="1" customWidth="1"/>
    <col min="4" max="4" width="19.33203125" customWidth="1"/>
    <col min="5" max="5" width="14" customWidth="1"/>
  </cols>
  <sheetData>
    <row r="1" spans="1:6" x14ac:dyDescent="0.3">
      <c r="A1" t="s">
        <v>31</v>
      </c>
      <c r="B1" t="s">
        <v>30</v>
      </c>
      <c r="C1" t="s">
        <v>32</v>
      </c>
      <c r="D1" t="s">
        <v>33</v>
      </c>
      <c r="E1" t="s">
        <v>19</v>
      </c>
      <c r="F1" t="s">
        <v>20</v>
      </c>
    </row>
    <row r="2" spans="1:6" x14ac:dyDescent="0.3">
      <c r="A2" s="26">
        <v>1</v>
      </c>
      <c r="B2" s="27">
        <v>44562</v>
      </c>
      <c r="C2" t="s">
        <v>41</v>
      </c>
      <c r="D2" t="s">
        <v>38</v>
      </c>
      <c r="E2" t="s">
        <v>51</v>
      </c>
      <c r="F2">
        <v>943909674</v>
      </c>
    </row>
    <row r="3" spans="1:6" x14ac:dyDescent="0.3">
      <c r="A3" s="26">
        <v>2</v>
      </c>
      <c r="B3" s="27">
        <v>44571</v>
      </c>
      <c r="C3" t="s">
        <v>43</v>
      </c>
      <c r="D3" t="s">
        <v>40</v>
      </c>
      <c r="E3" t="s">
        <v>52</v>
      </c>
      <c r="F3">
        <v>907282885</v>
      </c>
    </row>
    <row r="4" spans="1:6" x14ac:dyDescent="0.3">
      <c r="A4" s="26">
        <v>3</v>
      </c>
      <c r="B4" s="27">
        <v>44576</v>
      </c>
      <c r="C4" t="s">
        <v>44</v>
      </c>
      <c r="D4" t="s">
        <v>53</v>
      </c>
      <c r="E4" t="s">
        <v>54</v>
      </c>
      <c r="F4">
        <v>967846478</v>
      </c>
    </row>
    <row r="5" spans="1:6" x14ac:dyDescent="0.3">
      <c r="A5" s="26">
        <v>4</v>
      </c>
      <c r="B5" s="27">
        <v>44579</v>
      </c>
      <c r="C5" t="s">
        <v>45</v>
      </c>
      <c r="D5" t="s">
        <v>55</v>
      </c>
      <c r="E5" t="s">
        <v>56</v>
      </c>
      <c r="F5">
        <v>967922515</v>
      </c>
    </row>
    <row r="6" spans="1:6" x14ac:dyDescent="0.3">
      <c r="A6" s="26">
        <v>5</v>
      </c>
      <c r="B6" s="27">
        <v>44583</v>
      </c>
      <c r="C6" t="s">
        <v>46</v>
      </c>
      <c r="D6" t="s">
        <v>57</v>
      </c>
      <c r="E6" t="s">
        <v>58</v>
      </c>
      <c r="F6">
        <v>961816627</v>
      </c>
    </row>
    <row r="7" spans="1:6" x14ac:dyDescent="0.3">
      <c r="A7" s="26">
        <v>6</v>
      </c>
      <c r="B7" s="27">
        <v>44589</v>
      </c>
      <c r="C7" t="s">
        <v>47</v>
      </c>
      <c r="D7" t="s">
        <v>59</v>
      </c>
      <c r="E7" t="s">
        <v>60</v>
      </c>
      <c r="F7">
        <v>975533933</v>
      </c>
    </row>
    <row r="8" spans="1:6" x14ac:dyDescent="0.3">
      <c r="A8" s="26">
        <v>7</v>
      </c>
      <c r="B8" s="27">
        <v>44591</v>
      </c>
      <c r="C8" t="s">
        <v>48</v>
      </c>
      <c r="D8" t="s">
        <v>61</v>
      </c>
      <c r="E8" t="s">
        <v>62</v>
      </c>
      <c r="F8">
        <v>919756582</v>
      </c>
    </row>
    <row r="9" spans="1:6" x14ac:dyDescent="0.3">
      <c r="A9" s="26">
        <v>8</v>
      </c>
      <c r="B9" s="27">
        <v>44594</v>
      </c>
      <c r="C9" t="s">
        <v>49</v>
      </c>
      <c r="D9" t="s">
        <v>63</v>
      </c>
      <c r="E9" t="s">
        <v>64</v>
      </c>
      <c r="F9">
        <v>971505171</v>
      </c>
    </row>
    <row r="10" spans="1:6" x14ac:dyDescent="0.3">
      <c r="A10" s="26">
        <v>9</v>
      </c>
      <c r="B10" s="27">
        <v>44602</v>
      </c>
      <c r="C10" t="s">
        <v>50</v>
      </c>
      <c r="D10" t="s">
        <v>65</v>
      </c>
      <c r="E10" t="s">
        <v>66</v>
      </c>
      <c r="F10">
        <v>931089437</v>
      </c>
    </row>
    <row r="11" spans="1:6" x14ac:dyDescent="0.3">
      <c r="A11" s="26">
        <v>10</v>
      </c>
      <c r="B11" s="27">
        <v>44610</v>
      </c>
      <c r="C11" t="s">
        <v>42</v>
      </c>
      <c r="D11" t="s">
        <v>39</v>
      </c>
      <c r="E11" t="s">
        <v>67</v>
      </c>
      <c r="F11">
        <v>984822158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20"/>
  <sheetViews>
    <sheetView zoomScale="130" zoomScaleNormal="130" workbookViewId="0">
      <selection activeCell="A23" sqref="A23"/>
    </sheetView>
  </sheetViews>
  <sheetFormatPr baseColWidth="10" defaultRowHeight="14.4" x14ac:dyDescent="0.3"/>
  <cols>
    <col min="1" max="1" width="14.5546875" bestFit="1" customWidth="1"/>
    <col min="2" max="2" width="22.5546875" bestFit="1" customWidth="1"/>
    <col min="3" max="3" width="9.33203125" bestFit="1" customWidth="1"/>
    <col min="4" max="4" width="11.109375" bestFit="1" customWidth="1"/>
  </cols>
  <sheetData>
    <row r="1" spans="1:4" x14ac:dyDescent="0.3">
      <c r="A1" t="s">
        <v>31</v>
      </c>
      <c r="B1" t="s">
        <v>35</v>
      </c>
      <c r="C1" s="28" t="s">
        <v>36</v>
      </c>
      <c r="D1" t="s">
        <v>37</v>
      </c>
    </row>
    <row r="2" spans="1:4" x14ac:dyDescent="0.3">
      <c r="A2" s="26">
        <v>1</v>
      </c>
      <c r="B2" t="s">
        <v>68</v>
      </c>
      <c r="C2" s="28">
        <v>80</v>
      </c>
      <c r="D2" s="29">
        <v>15</v>
      </c>
    </row>
    <row r="3" spans="1:4" x14ac:dyDescent="0.3">
      <c r="A3" s="26">
        <v>1</v>
      </c>
      <c r="B3" t="s">
        <v>69</v>
      </c>
      <c r="C3" s="28">
        <v>110</v>
      </c>
      <c r="D3" s="29">
        <v>12</v>
      </c>
    </row>
    <row r="4" spans="1:4" x14ac:dyDescent="0.3">
      <c r="A4" s="26">
        <v>1</v>
      </c>
      <c r="B4" t="s">
        <v>70</v>
      </c>
      <c r="C4" s="28">
        <v>100</v>
      </c>
      <c r="D4" s="29">
        <v>12</v>
      </c>
    </row>
    <row r="5" spans="1:4" x14ac:dyDescent="0.3">
      <c r="A5" s="26">
        <v>2</v>
      </c>
      <c r="B5" t="s">
        <v>71</v>
      </c>
      <c r="C5" s="28">
        <v>150</v>
      </c>
      <c r="D5" s="29">
        <v>5</v>
      </c>
    </row>
    <row r="6" spans="1:4" x14ac:dyDescent="0.3">
      <c r="A6" s="26">
        <v>3</v>
      </c>
      <c r="B6" t="s">
        <v>72</v>
      </c>
      <c r="C6" s="28">
        <v>55</v>
      </c>
      <c r="D6" s="29">
        <v>6</v>
      </c>
    </row>
    <row r="7" spans="1:4" x14ac:dyDescent="0.3">
      <c r="A7" s="26">
        <v>3</v>
      </c>
      <c r="B7" t="s">
        <v>73</v>
      </c>
      <c r="C7" s="28">
        <v>75</v>
      </c>
      <c r="D7" s="29">
        <v>15</v>
      </c>
    </row>
    <row r="8" spans="1:4" x14ac:dyDescent="0.3">
      <c r="A8" s="26">
        <v>4</v>
      </c>
      <c r="B8" t="s">
        <v>71</v>
      </c>
      <c r="C8" s="28">
        <v>150</v>
      </c>
      <c r="D8" s="29">
        <v>10</v>
      </c>
    </row>
    <row r="9" spans="1:4" x14ac:dyDescent="0.3">
      <c r="A9" s="26">
        <v>5</v>
      </c>
      <c r="B9" t="s">
        <v>72</v>
      </c>
      <c r="C9" s="28">
        <v>55</v>
      </c>
      <c r="D9" s="29">
        <v>6</v>
      </c>
    </row>
    <row r="10" spans="1:4" x14ac:dyDescent="0.3">
      <c r="A10" s="26">
        <v>5</v>
      </c>
      <c r="B10" t="s">
        <v>73</v>
      </c>
      <c r="C10" s="28">
        <v>75</v>
      </c>
      <c r="D10" s="29">
        <v>15</v>
      </c>
    </row>
    <row r="11" spans="1:4" x14ac:dyDescent="0.3">
      <c r="A11" s="26">
        <v>5</v>
      </c>
      <c r="B11" t="s">
        <v>74</v>
      </c>
      <c r="C11" s="28">
        <v>100</v>
      </c>
      <c r="D11" s="29">
        <v>15</v>
      </c>
    </row>
    <row r="12" spans="1:4" x14ac:dyDescent="0.3">
      <c r="A12" s="26">
        <v>6</v>
      </c>
      <c r="B12" t="s">
        <v>75</v>
      </c>
      <c r="C12" s="28">
        <v>110</v>
      </c>
      <c r="D12" s="29">
        <v>10</v>
      </c>
    </row>
    <row r="13" spans="1:4" x14ac:dyDescent="0.3">
      <c r="A13" s="26">
        <v>6</v>
      </c>
      <c r="B13" t="s">
        <v>76</v>
      </c>
      <c r="C13" s="28">
        <v>90</v>
      </c>
      <c r="D13" s="29">
        <v>12</v>
      </c>
    </row>
    <row r="14" spans="1:4" x14ac:dyDescent="0.3">
      <c r="A14" s="26">
        <v>7</v>
      </c>
      <c r="B14" t="s">
        <v>71</v>
      </c>
      <c r="C14" s="28">
        <v>150</v>
      </c>
      <c r="D14" s="29">
        <v>8</v>
      </c>
    </row>
    <row r="15" spans="1:4" x14ac:dyDescent="0.3">
      <c r="A15" s="26">
        <v>8</v>
      </c>
      <c r="B15" t="s">
        <v>72</v>
      </c>
      <c r="C15" s="28">
        <v>55</v>
      </c>
      <c r="D15" s="29">
        <v>6</v>
      </c>
    </row>
    <row r="16" spans="1:4" x14ac:dyDescent="0.3">
      <c r="A16" s="26">
        <v>8</v>
      </c>
      <c r="B16" t="s">
        <v>73</v>
      </c>
      <c r="C16" s="28">
        <v>75</v>
      </c>
      <c r="D16" s="29">
        <v>15</v>
      </c>
    </row>
    <row r="17" spans="1:4" x14ac:dyDescent="0.3">
      <c r="A17" s="26">
        <v>8</v>
      </c>
      <c r="B17" t="s">
        <v>74</v>
      </c>
      <c r="C17" s="28">
        <v>100</v>
      </c>
      <c r="D17" s="29">
        <v>15</v>
      </c>
    </row>
    <row r="18" spans="1:4" x14ac:dyDescent="0.3">
      <c r="A18" s="26">
        <v>9</v>
      </c>
      <c r="B18" t="s">
        <v>71</v>
      </c>
      <c r="C18" s="28">
        <v>150</v>
      </c>
      <c r="D18" s="29">
        <v>15</v>
      </c>
    </row>
    <row r="19" spans="1:4" x14ac:dyDescent="0.3">
      <c r="A19" s="26">
        <v>10</v>
      </c>
      <c r="B19" t="s">
        <v>69</v>
      </c>
      <c r="C19" s="28">
        <v>110</v>
      </c>
      <c r="D19" s="29">
        <v>12</v>
      </c>
    </row>
    <row r="20" spans="1:4" x14ac:dyDescent="0.3">
      <c r="A20" s="26">
        <v>10</v>
      </c>
      <c r="B20" t="s">
        <v>70</v>
      </c>
      <c r="C20" s="28">
        <v>100</v>
      </c>
      <c r="D20" s="29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COTIZACIÓN</vt:lpstr>
      <vt:lpstr>Datos_Principales</vt:lpstr>
      <vt:lpstr>Detalle_Servicio</vt:lpstr>
      <vt:lpstr>COTIZACIÓN!Área_de_impresión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Uriarte</cp:lastModifiedBy>
  <cp:lastPrinted>2023-11-10T05:30:15Z</cp:lastPrinted>
  <dcterms:created xsi:type="dcterms:W3CDTF">2022-02-24T15:30:11Z</dcterms:created>
  <dcterms:modified xsi:type="dcterms:W3CDTF">2023-11-10T05:32:13Z</dcterms:modified>
</cp:coreProperties>
</file>