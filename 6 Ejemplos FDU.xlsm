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MACROS Y VBA EN EXCEL\"/>
    </mc:Choice>
  </mc:AlternateContent>
  <bookViews>
    <workbookView xWindow="0" yWindow="0" windowWidth="23040" windowHeight="9192" activeTab="2"/>
  </bookViews>
  <sheets>
    <sheet name="Ejemplo1" sheetId="1" r:id="rId1"/>
    <sheet name="Ejemplo2" sheetId="2" r:id="rId2"/>
    <sheet name="Ejemplo3" sheetId="3" r:id="rId3"/>
    <sheet name="Replica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3" l="1"/>
  <c r="E4" i="2"/>
  <c r="E3" i="2"/>
  <c r="C4" i="1"/>
  <c r="C12" i="1"/>
  <c r="C15" i="1"/>
  <c r="C9" i="1"/>
  <c r="C5" i="1"/>
  <c r="C13" i="1"/>
  <c r="C14" i="1"/>
  <c r="C8" i="1"/>
  <c r="C11" i="1"/>
  <c r="C6" i="1"/>
  <c r="C7" i="1"/>
  <c r="C10" i="1"/>
  <c r="C3" i="1"/>
</calcChain>
</file>

<file path=xl/comments1.xml><?xml version="1.0" encoding="utf-8"?>
<comments xmlns="http://schemas.openxmlformats.org/spreadsheetml/2006/main">
  <authors>
    <author>Ricardo Crispín</author>
  </authors>
  <commentList>
    <comment ref="D26" authorId="0" shapeId="0">
      <text>
        <r>
          <rPr>
            <b/>
            <sz val="9"/>
            <color indexed="81"/>
            <rFont val="Tahoma"/>
            <family val="2"/>
          </rPr>
          <t>Ricardo Crispín:</t>
        </r>
        <r>
          <rPr>
            <sz val="9"/>
            <color indexed="81"/>
            <rFont val="Tahoma"/>
            <family val="2"/>
          </rPr>
          <t xml:space="preserve">
Usar la función Financiera PAGO.</t>
        </r>
      </text>
    </comment>
  </commentList>
</comments>
</file>

<file path=xl/sharedStrings.xml><?xml version="1.0" encoding="utf-8"?>
<sst xmlns="http://schemas.openxmlformats.org/spreadsheetml/2006/main" count="45" uniqueCount="31">
  <si>
    <t>Nota</t>
  </si>
  <si>
    <t>Observación</t>
  </si>
  <si>
    <t>Mayor a 13</t>
  </si>
  <si>
    <t>APROBADO</t>
  </si>
  <si>
    <t>Caso contrario</t>
  </si>
  <si>
    <t>DESAPROBADO</t>
  </si>
  <si>
    <t>A</t>
  </si>
  <si>
    <t>B</t>
  </si>
  <si>
    <t>C</t>
  </si>
  <si>
    <t>A+B+C</t>
  </si>
  <si>
    <t>Condición</t>
  </si>
  <si>
    <t>Si C es vacio, sumar 10</t>
  </si>
  <si>
    <t>Conversión de Tasas Efectivas</t>
  </si>
  <si>
    <t>Convertir una Tasa Efectiva Anual (TEA) de 58% a Tasa Efectiva Mensual</t>
  </si>
  <si>
    <t>Obtener las conversiones de Tasa según lo solicitado</t>
  </si>
  <si>
    <t>Tasa Dato</t>
  </si>
  <si>
    <t>Dias Dato</t>
  </si>
  <si>
    <t>Dias Necesitado</t>
  </si>
  <si>
    <t>Tasa Resultado</t>
  </si>
  <si>
    <t>Pasar las TEA a TEM para obtener el valor de cuota de los distintos Préstamos</t>
  </si>
  <si>
    <t>PRÉSTAMO</t>
  </si>
  <si>
    <t>TEA</t>
  </si>
  <si>
    <t>TEM</t>
  </si>
  <si>
    <t>CUOTA MENSUAL</t>
  </si>
  <si>
    <t>Nota: Asumir que los pasivos tienen una vida de 1 año.</t>
  </si>
  <si>
    <t>Construir un cuadro de amortización con el registro del último préstamo</t>
  </si>
  <si>
    <t>1) Validar el nombre de la funcion que voy a crear</t>
  </si>
  <si>
    <t>***RECOMENDACIÓN: Usar el prefijo UDF en cualquier nombre de funcion</t>
  </si>
  <si>
    <t>UDF_NOTA()</t>
  </si>
  <si>
    <t>UDF_SUMA(B3;C3)</t>
  </si>
  <si>
    <t>UDF_SUMA(B4;C4;D4)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</si>
</sst>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S/&quot;#,##0.00"/>
    <numFmt numFmtId="166" formatCode="0.000%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Impact"/>
      <family val="2"/>
    </font>
    <font>
      <sz val="14"/>
      <color theme="1"/>
      <name val="Impact"/>
      <family val="2"/>
    </font>
    <font>
      <b/>
      <sz val="14"/>
      <color theme="8" tint="-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9" fontId="0" fillId="0" borderId="1" xfId="1" applyFont="1" applyBorder="1" applyAlignment="1">
      <alignment horizontal="center"/>
    </xf>
    <xf numFmtId="164" fontId="0" fillId="0" borderId="1" xfId="1" applyNumberFormat="1" applyFont="1" applyBorder="1" applyAlignment="1">
      <alignment horizontal="right"/>
    </xf>
    <xf numFmtId="164" fontId="0" fillId="0" borderId="1" xfId="0" applyNumberFormat="1" applyBorder="1" applyAlignment="1">
      <alignment horizontal="center"/>
    </xf>
    <xf numFmtId="0" fontId="11" fillId="0" borderId="0" xfId="0" applyFont="1"/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0" borderId="0" xfId="0" applyFont="1"/>
    <xf numFmtId="166" fontId="4" fillId="3" borderId="2" xfId="1" applyNumberFormat="1" applyFont="1" applyFill="1" applyBorder="1" applyAlignment="1">
      <alignment horizontal="center"/>
    </xf>
    <xf numFmtId="166" fontId="4" fillId="3" borderId="3" xfId="1" applyNumberFormat="1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285457</xdr:colOff>
      <xdr:row>2</xdr:row>
      <xdr:rowOff>110197</xdr:rowOff>
    </xdr:from>
    <xdr:to>
      <xdr:col>6</xdr:col>
      <xdr:colOff>657665</xdr:colOff>
      <xdr:row>14</xdr:row>
      <xdr:rowOff>101223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343559-CBCB-4BB2-8F8E-883FDC871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507" y="529297"/>
          <a:ext cx="3458308" cy="227702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F15"/>
  <sheetViews>
    <sheetView showGridLines="0" topLeftCell="A10" zoomScaleNormal="100" workbookViewId="0">
      <selection activeCell="G16" sqref="G16"/>
    </sheetView>
  </sheetViews>
  <sheetFormatPr baseColWidth="10" defaultRowHeight="14.4" x14ac:dyDescent="0.3"/>
  <cols>
    <col min="3" max="3" width="15.109375" customWidth="1"/>
    <col min="5" max="5" width="13" bestFit="1" customWidth="1"/>
    <col min="6" max="6" width="14" bestFit="1" customWidth="1"/>
  </cols>
  <sheetData>
    <row r="2" spans="2:6" x14ac:dyDescent="0.3">
      <c r="B2" s="3" t="s">
        <v>0</v>
      </c>
      <c r="C2" s="3" t="s">
        <v>1</v>
      </c>
      <c r="E2" s="3" t="s">
        <v>0</v>
      </c>
      <c r="F2" s="3" t="s">
        <v>1</v>
      </c>
    </row>
    <row r="3" spans="2:6" x14ac:dyDescent="0.3">
      <c r="B3" s="2">
        <v>19</v>
      </c>
      <c r="C3" s="1" t="str">
        <f>UDF_NOTA(B3)</f>
        <v>APROBADO</v>
      </c>
      <c r="D3" s="13" t="s">
        <v>28</v>
      </c>
      <c r="E3" s="2" t="s">
        <v>2</v>
      </c>
      <c r="F3" s="2" t="s">
        <v>3</v>
      </c>
    </row>
    <row r="4" spans="2:6" x14ac:dyDescent="0.3">
      <c r="B4" s="2">
        <v>14</v>
      </c>
      <c r="C4" s="1" t="str">
        <f t="shared" ref="C4:C15" si="0">UDF_NOTA(B4)</f>
        <v>APROBADO</v>
      </c>
      <c r="D4" s="13" t="s">
        <v>28</v>
      </c>
      <c r="E4" s="2" t="s">
        <v>4</v>
      </c>
      <c r="F4" s="2" t="s">
        <v>5</v>
      </c>
    </row>
    <row r="5" spans="2:6" x14ac:dyDescent="0.3">
      <c r="B5" s="2">
        <v>18</v>
      </c>
      <c r="C5" s="1" t="str">
        <f t="shared" si="0"/>
        <v>APROBADO</v>
      </c>
      <c r="D5" s="13" t="s">
        <v>28</v>
      </c>
    </row>
    <row r="6" spans="2:6" x14ac:dyDescent="0.3">
      <c r="B6" s="2">
        <v>6</v>
      </c>
      <c r="C6" s="1" t="str">
        <f t="shared" si="0"/>
        <v>DESAPROBADO</v>
      </c>
      <c r="D6" s="13" t="s">
        <v>28</v>
      </c>
    </row>
    <row r="7" spans="2:6" x14ac:dyDescent="0.3">
      <c r="B7" s="2">
        <v>5</v>
      </c>
      <c r="C7" s="1" t="str">
        <f t="shared" si="0"/>
        <v>DESAPROBADO</v>
      </c>
      <c r="D7" s="13" t="s">
        <v>28</v>
      </c>
      <c r="E7" t="s">
        <v>26</v>
      </c>
    </row>
    <row r="8" spans="2:6" x14ac:dyDescent="0.3">
      <c r="B8" s="2">
        <v>16</v>
      </c>
      <c r="C8" s="1" t="str">
        <f t="shared" si="0"/>
        <v>APROBADO</v>
      </c>
      <c r="D8" s="13" t="s">
        <v>28</v>
      </c>
      <c r="E8" t="s">
        <v>27</v>
      </c>
    </row>
    <row r="9" spans="2:6" x14ac:dyDescent="0.3">
      <c r="B9" s="2">
        <v>19</v>
      </c>
      <c r="C9" s="1" t="str">
        <f t="shared" si="0"/>
        <v>APROBADO</v>
      </c>
      <c r="D9" s="13" t="s">
        <v>28</v>
      </c>
    </row>
    <row r="10" spans="2:6" x14ac:dyDescent="0.3">
      <c r="B10" s="2">
        <v>19</v>
      </c>
      <c r="C10" s="1" t="str">
        <f t="shared" si="0"/>
        <v>APROBADO</v>
      </c>
      <c r="D10" s="13" t="s">
        <v>28</v>
      </c>
    </row>
    <row r="11" spans="2:6" x14ac:dyDescent="0.3">
      <c r="B11" s="2">
        <v>18</v>
      </c>
      <c r="C11" s="1" t="str">
        <f t="shared" si="0"/>
        <v>APROBADO</v>
      </c>
      <c r="D11" s="13" t="s">
        <v>28</v>
      </c>
    </row>
    <row r="12" spans="2:6" x14ac:dyDescent="0.3">
      <c r="B12" s="2">
        <v>11</v>
      </c>
      <c r="C12" s="1" t="str">
        <f t="shared" si="0"/>
        <v>DESAPROBADO</v>
      </c>
      <c r="D12" s="13" t="s">
        <v>28</v>
      </c>
    </row>
    <row r="13" spans="2:6" x14ac:dyDescent="0.3">
      <c r="B13" s="2">
        <v>11</v>
      </c>
      <c r="C13" s="1" t="str">
        <f t="shared" si="0"/>
        <v>DESAPROBADO</v>
      </c>
      <c r="D13" s="13" t="s">
        <v>28</v>
      </c>
    </row>
    <row r="14" spans="2:6" x14ac:dyDescent="0.3">
      <c r="B14" s="2">
        <v>6</v>
      </c>
      <c r="C14" s="1" t="str">
        <f t="shared" si="0"/>
        <v>DESAPROBADO</v>
      </c>
      <c r="D14" s="13" t="s">
        <v>28</v>
      </c>
    </row>
    <row r="15" spans="2:6" x14ac:dyDescent="0.3">
      <c r="B15" s="2">
        <v>12</v>
      </c>
      <c r="C15" s="1" t="str">
        <f t="shared" si="0"/>
        <v>DESAPROBADO</v>
      </c>
      <c r="D15" s="13" t="s">
        <v>28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G4"/>
  <sheetViews>
    <sheetView showGridLines="0" zoomScale="115" zoomScaleNormal="115" workbookViewId="0">
      <selection activeCell="F8" sqref="F8"/>
    </sheetView>
  </sheetViews>
  <sheetFormatPr baseColWidth="10" defaultRowHeight="14.4" x14ac:dyDescent="0.3"/>
  <cols>
    <col min="6" max="6" width="19.6640625" customWidth="1"/>
    <col min="7" max="7" width="19.6640625" bestFit="1" customWidth="1"/>
  </cols>
  <sheetData>
    <row r="2" spans="2:7" x14ac:dyDescent="0.3">
      <c r="B2" s="4" t="s">
        <v>6</v>
      </c>
      <c r="C2" s="4" t="s">
        <v>7</v>
      </c>
      <c r="D2" s="4" t="s">
        <v>8</v>
      </c>
      <c r="E2" s="4" t="s">
        <v>9</v>
      </c>
      <c r="G2" s="4" t="s">
        <v>10</v>
      </c>
    </row>
    <row r="3" spans="2:7" x14ac:dyDescent="0.3">
      <c r="B3" s="2">
        <v>1</v>
      </c>
      <c r="C3" s="2">
        <v>3</v>
      </c>
      <c r="D3" s="2"/>
      <c r="E3" s="2">
        <f>UDF_SUMA(B3,C3)</f>
        <v>14</v>
      </c>
      <c r="F3" s="13" t="s">
        <v>29</v>
      </c>
      <c r="G3" s="1" t="s">
        <v>11</v>
      </c>
    </row>
    <row r="4" spans="2:7" x14ac:dyDescent="0.3">
      <c r="B4" s="2">
        <v>8</v>
      </c>
      <c r="C4" s="2">
        <v>8</v>
      </c>
      <c r="D4" s="2">
        <v>2</v>
      </c>
      <c r="E4" s="2">
        <f>UDF_SUMA(B4,C4,D4)</f>
        <v>18</v>
      </c>
      <c r="F4" s="13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showGridLines="0" tabSelected="1" topLeftCell="A10" zoomScale="70" zoomScaleNormal="70" workbookViewId="0">
      <selection activeCell="F19" sqref="F19"/>
    </sheetView>
  </sheetViews>
  <sheetFormatPr baseColWidth="10" defaultColWidth="0" defaultRowHeight="15" customHeight="1" zeroHeight="1" x14ac:dyDescent="0.3"/>
  <cols>
    <col min="1" max="9" width="11.5546875" customWidth="1"/>
    <col min="10" max="10" width="11.5546875" hidden="1" customWidth="1"/>
    <col min="11" max="16384" width="11.5546875" hidden="1"/>
  </cols>
  <sheetData>
    <row r="1" spans="1:10" ht="17.399999999999999" x14ac:dyDescent="0.3">
      <c r="A1" s="11" t="s">
        <v>12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ht="14.4" x14ac:dyDescent="0.3"/>
    <row r="3" spans="1:10" ht="14.4" x14ac:dyDescent="0.3"/>
    <row r="4" spans="1:10" ht="14.4" x14ac:dyDescent="0.3"/>
    <row r="5" spans="1:10" ht="14.4" x14ac:dyDescent="0.3"/>
    <row r="6" spans="1:10" ht="14.4" x14ac:dyDescent="0.3"/>
    <row r="7" spans="1:10" ht="14.4" x14ac:dyDescent="0.3"/>
    <row r="8" spans="1:10" ht="14.4" x14ac:dyDescent="0.3"/>
    <row r="9" spans="1:10" ht="14.4" x14ac:dyDescent="0.3"/>
    <row r="10" spans="1:10" ht="14.4" x14ac:dyDescent="0.3"/>
    <row r="11" spans="1:10" ht="14.4" x14ac:dyDescent="0.3"/>
    <row r="12" spans="1:10" ht="14.4" x14ac:dyDescent="0.3"/>
    <row r="13" spans="1:10" ht="14.4" x14ac:dyDescent="0.3"/>
    <row r="14" spans="1:10" ht="14.4" x14ac:dyDescent="0.3"/>
    <row r="15" spans="1:10" ht="14.4" x14ac:dyDescent="0.3"/>
    <row r="16" spans="1:10" ht="14.4" x14ac:dyDescent="0.3"/>
    <row r="17" spans="2:5" ht="18" x14ac:dyDescent="0.35">
      <c r="B17" s="5" t="s">
        <v>13</v>
      </c>
    </row>
    <row r="18" spans="2:5" thickBot="1" x14ac:dyDescent="0.35"/>
    <row r="19" spans="2:5" ht="21" customHeight="1" thickBot="1" x14ac:dyDescent="0.35">
      <c r="D19" s="14">
        <f>UDF_TEM(0.58,30,360)</f>
        <v>3.8854576294528265E-2</v>
      </c>
      <c r="E19" s="15"/>
    </row>
    <row r="20" spans="2:5" ht="14.4" x14ac:dyDescent="0.3"/>
  </sheetData>
  <mergeCells count="2">
    <mergeCell ref="A1:J1"/>
    <mergeCell ref="D19:E1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G45"/>
  <sheetViews>
    <sheetView showGridLines="0" zoomScale="115" zoomScaleNormal="115" workbookViewId="0">
      <selection activeCell="E3" sqref="E3"/>
    </sheetView>
  </sheetViews>
  <sheetFormatPr baseColWidth="10" defaultRowHeight="14.4" x14ac:dyDescent="0.3"/>
  <cols>
    <col min="1" max="1" width="13" customWidth="1"/>
    <col min="3" max="3" width="14.33203125" bestFit="1" customWidth="1"/>
    <col min="4" max="4" width="16.109375" bestFit="1" customWidth="1"/>
  </cols>
  <sheetData>
    <row r="1" spans="1:4" ht="23.4" x14ac:dyDescent="0.45">
      <c r="A1" s="6" t="s">
        <v>14</v>
      </c>
    </row>
    <row r="3" spans="1:4" x14ac:dyDescent="0.3">
      <c r="A3" s="3" t="s">
        <v>15</v>
      </c>
      <c r="B3" s="3" t="s">
        <v>16</v>
      </c>
      <c r="C3" s="3" t="s">
        <v>17</v>
      </c>
      <c r="D3" s="3" t="s">
        <v>18</v>
      </c>
    </row>
    <row r="4" spans="1:4" x14ac:dyDescent="0.3">
      <c r="A4" s="7">
        <v>0.7323328443402638</v>
      </c>
      <c r="B4" s="2">
        <v>360</v>
      </c>
      <c r="C4" s="2">
        <v>30</v>
      </c>
      <c r="D4" s="2"/>
    </row>
    <row r="5" spans="1:4" x14ac:dyDescent="0.3">
      <c r="A5" s="7">
        <v>0.37253428614914463</v>
      </c>
      <c r="B5" s="2">
        <v>180</v>
      </c>
      <c r="C5" s="2">
        <v>60</v>
      </c>
      <c r="D5" s="2"/>
    </row>
    <row r="6" spans="1:4" x14ac:dyDescent="0.3">
      <c r="A6" s="7">
        <v>0.71260021925140515</v>
      </c>
      <c r="B6" s="2">
        <v>120</v>
      </c>
      <c r="C6" s="2">
        <v>30</v>
      </c>
      <c r="D6" s="2"/>
    </row>
    <row r="7" spans="1:4" x14ac:dyDescent="0.3">
      <c r="A7" s="7">
        <v>0.1646132685209738</v>
      </c>
      <c r="B7" s="2">
        <v>60</v>
      </c>
      <c r="C7" s="2">
        <v>180</v>
      </c>
      <c r="D7" s="2"/>
    </row>
    <row r="8" spans="1:4" x14ac:dyDescent="0.3">
      <c r="A8" s="7">
        <v>0.68769179875955222</v>
      </c>
      <c r="B8" s="2">
        <v>30</v>
      </c>
      <c r="C8" s="2">
        <v>360</v>
      </c>
      <c r="D8" s="2"/>
    </row>
    <row r="9" spans="1:4" x14ac:dyDescent="0.3">
      <c r="A9" s="7">
        <v>0.83822567737158526</v>
      </c>
      <c r="B9" s="2">
        <v>360</v>
      </c>
      <c r="C9" s="2">
        <v>30</v>
      </c>
      <c r="D9" s="2"/>
    </row>
    <row r="10" spans="1:4" x14ac:dyDescent="0.3">
      <c r="A10" s="7">
        <v>0.98773093091918551</v>
      </c>
      <c r="B10" s="2">
        <v>180</v>
      </c>
      <c r="C10" s="2">
        <v>30</v>
      </c>
      <c r="D10" s="2"/>
    </row>
    <row r="11" spans="1:4" x14ac:dyDescent="0.3">
      <c r="A11" s="7">
        <v>0.61867062231119641</v>
      </c>
      <c r="B11" s="2">
        <v>120</v>
      </c>
      <c r="C11" s="2">
        <v>60</v>
      </c>
      <c r="D11" s="2"/>
    </row>
    <row r="12" spans="1:4" x14ac:dyDescent="0.3">
      <c r="A12" s="7">
        <v>0.48886001559127901</v>
      </c>
      <c r="B12" s="2">
        <v>60</v>
      </c>
      <c r="C12" s="2">
        <v>30</v>
      </c>
      <c r="D12" s="2"/>
    </row>
    <row r="13" spans="1:4" x14ac:dyDescent="0.3">
      <c r="A13" s="7">
        <v>0.62431420147327021</v>
      </c>
      <c r="B13" s="2">
        <v>30</v>
      </c>
      <c r="C13" s="2">
        <v>360</v>
      </c>
      <c r="D13" s="2"/>
    </row>
    <row r="14" spans="1:4" x14ac:dyDescent="0.3">
      <c r="A14" s="7">
        <v>0.68685035583714504</v>
      </c>
      <c r="B14" s="2">
        <v>360</v>
      </c>
      <c r="C14" s="2">
        <v>30</v>
      </c>
      <c r="D14" s="2"/>
    </row>
    <row r="15" spans="1:4" x14ac:dyDescent="0.3">
      <c r="A15" s="7">
        <v>0.15701256161716859</v>
      </c>
      <c r="B15" s="2">
        <v>180</v>
      </c>
      <c r="C15" s="2">
        <v>120</v>
      </c>
      <c r="D15" s="2"/>
    </row>
    <row r="16" spans="1:4" x14ac:dyDescent="0.3">
      <c r="A16" s="7">
        <v>0.12096634548302998</v>
      </c>
      <c r="B16" s="2">
        <v>120</v>
      </c>
      <c r="C16" s="2">
        <v>180</v>
      </c>
      <c r="D16" s="2"/>
    </row>
    <row r="17" spans="1:7" x14ac:dyDescent="0.3">
      <c r="A17" s="7">
        <v>0.62630880722483506</v>
      </c>
      <c r="B17" s="2">
        <v>60</v>
      </c>
      <c r="C17" s="2">
        <v>360</v>
      </c>
      <c r="D17" s="2"/>
    </row>
    <row r="18" spans="1:7" x14ac:dyDescent="0.3">
      <c r="A18" s="7">
        <v>0.14242406784641282</v>
      </c>
      <c r="B18" s="2">
        <v>30</v>
      </c>
      <c r="C18" s="2">
        <v>360</v>
      </c>
      <c r="D18" s="2"/>
    </row>
    <row r="19" spans="1:7" x14ac:dyDescent="0.3">
      <c r="A19" s="7">
        <v>0.42755424822059374</v>
      </c>
      <c r="B19" s="2">
        <v>150</v>
      </c>
      <c r="C19" s="2">
        <v>60</v>
      </c>
      <c r="D19" s="2"/>
    </row>
    <row r="20" spans="1:7" x14ac:dyDescent="0.3">
      <c r="A20" s="7">
        <v>0.92777978055718602</v>
      </c>
      <c r="B20" s="2">
        <v>360</v>
      </c>
      <c r="C20" s="2">
        <v>180</v>
      </c>
      <c r="D20" s="2"/>
    </row>
    <row r="24" spans="1:7" ht="23.4" x14ac:dyDescent="0.45">
      <c r="A24" s="6" t="s">
        <v>19</v>
      </c>
    </row>
    <row r="26" spans="1:7" x14ac:dyDescent="0.3">
      <c r="A26" s="3" t="s">
        <v>20</v>
      </c>
      <c r="B26" s="3" t="s">
        <v>21</v>
      </c>
      <c r="C26" s="3" t="s">
        <v>22</v>
      </c>
      <c r="D26" s="3" t="s">
        <v>23</v>
      </c>
    </row>
    <row r="27" spans="1:7" x14ac:dyDescent="0.3">
      <c r="A27" s="8">
        <v>24130</v>
      </c>
      <c r="B27" s="7">
        <v>0.7323328443402638</v>
      </c>
      <c r="C27" s="7"/>
      <c r="D27" s="9"/>
    </row>
    <row r="28" spans="1:7" x14ac:dyDescent="0.3">
      <c r="A28" s="8">
        <v>17763</v>
      </c>
      <c r="B28" s="7">
        <v>0.37253428614914463</v>
      </c>
      <c r="C28" s="7"/>
      <c r="D28" s="9"/>
      <c r="G28" t="s">
        <v>24</v>
      </c>
    </row>
    <row r="29" spans="1:7" x14ac:dyDescent="0.3">
      <c r="A29" s="8">
        <v>10385</v>
      </c>
      <c r="B29" s="7">
        <v>0.71260021925140515</v>
      </c>
      <c r="C29" s="7"/>
      <c r="D29" s="9"/>
    </row>
    <row r="30" spans="1:7" x14ac:dyDescent="0.3">
      <c r="A30" s="8">
        <v>20900</v>
      </c>
      <c r="B30" s="7">
        <v>0.1646132685209738</v>
      </c>
      <c r="C30" s="7"/>
      <c r="D30" s="9"/>
    </row>
    <row r="31" spans="1:7" x14ac:dyDescent="0.3">
      <c r="A31" s="8">
        <v>18406</v>
      </c>
      <c r="B31" s="7">
        <v>0.68769179875955222</v>
      </c>
      <c r="C31" s="7"/>
      <c r="D31" s="9"/>
    </row>
    <row r="32" spans="1:7" x14ac:dyDescent="0.3">
      <c r="A32" s="8">
        <v>9444</v>
      </c>
      <c r="B32" s="7">
        <v>0.83822567737158526</v>
      </c>
      <c r="C32" s="7"/>
      <c r="D32" s="9"/>
    </row>
    <row r="33" spans="1:4" x14ac:dyDescent="0.3">
      <c r="A33" s="8">
        <v>22992</v>
      </c>
      <c r="B33" s="7">
        <v>0.98773093091918551</v>
      </c>
      <c r="C33" s="7"/>
      <c r="D33" s="9"/>
    </row>
    <row r="34" spans="1:4" x14ac:dyDescent="0.3">
      <c r="A34" s="8">
        <v>7204</v>
      </c>
      <c r="B34" s="7">
        <v>0.61867062231119641</v>
      </c>
      <c r="C34" s="7"/>
      <c r="D34" s="9"/>
    </row>
    <row r="35" spans="1:4" x14ac:dyDescent="0.3">
      <c r="A35" s="8">
        <v>9079</v>
      </c>
      <c r="B35" s="7">
        <v>0.48886001559127901</v>
      </c>
      <c r="C35" s="7"/>
      <c r="D35" s="9"/>
    </row>
    <row r="36" spans="1:4" x14ac:dyDescent="0.3">
      <c r="A36" s="8">
        <v>5767</v>
      </c>
      <c r="B36" s="7">
        <v>0.62431420147327021</v>
      </c>
      <c r="C36" s="7"/>
      <c r="D36" s="9"/>
    </row>
    <row r="37" spans="1:4" x14ac:dyDescent="0.3">
      <c r="A37" s="8">
        <v>10551</v>
      </c>
      <c r="B37" s="7">
        <v>0.68685035583714504</v>
      </c>
      <c r="C37" s="7"/>
      <c r="D37" s="9"/>
    </row>
    <row r="38" spans="1:4" x14ac:dyDescent="0.3">
      <c r="A38" s="8">
        <v>20628</v>
      </c>
      <c r="B38" s="7">
        <v>0.15701256161716859</v>
      </c>
      <c r="C38" s="7"/>
      <c r="D38" s="9"/>
    </row>
    <row r="39" spans="1:4" x14ac:dyDescent="0.3">
      <c r="A39" s="8">
        <v>18826</v>
      </c>
      <c r="B39" s="7">
        <v>0.12096634548302998</v>
      </c>
      <c r="C39" s="7"/>
      <c r="D39" s="9"/>
    </row>
    <row r="40" spans="1:4" x14ac:dyDescent="0.3">
      <c r="A40" s="8">
        <v>16795</v>
      </c>
      <c r="B40" s="7">
        <v>0.62630880722483506</v>
      </c>
      <c r="C40" s="7"/>
      <c r="D40" s="9"/>
    </row>
    <row r="41" spans="1:4" x14ac:dyDescent="0.3">
      <c r="A41" s="8">
        <v>7453</v>
      </c>
      <c r="B41" s="7">
        <v>0.14242406784641282</v>
      </c>
      <c r="C41" s="7"/>
      <c r="D41" s="9"/>
    </row>
    <row r="42" spans="1:4" x14ac:dyDescent="0.3">
      <c r="A42" s="8">
        <v>9164</v>
      </c>
      <c r="B42" s="7">
        <v>0.42755424822059374</v>
      </c>
      <c r="C42" s="7"/>
      <c r="D42" s="9"/>
    </row>
    <row r="43" spans="1:4" x14ac:dyDescent="0.3">
      <c r="A43" s="8">
        <v>22085</v>
      </c>
      <c r="B43" s="7">
        <v>0.92777978055718602</v>
      </c>
      <c r="C43" s="7"/>
      <c r="D43" s="9"/>
    </row>
    <row r="45" spans="1:4" ht="15.6" x14ac:dyDescent="0.3">
      <c r="A45" s="10" t="s">
        <v>25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Ejemplo1</vt:lpstr>
      <vt:lpstr>Ejemplo2</vt:lpstr>
      <vt:lpstr>Ejemplo3</vt:lpstr>
      <vt:lpstr>Replicas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Felix Rodriguez Sanchez</dc:creator>
  <cp:lastModifiedBy>Uriarte</cp:lastModifiedBy>
  <dcterms:created xsi:type="dcterms:W3CDTF">2021-05-11T05:55:55Z</dcterms:created>
  <dcterms:modified xsi:type="dcterms:W3CDTF">2023-11-10T01:22:12Z</dcterms:modified>
</cp:coreProperties>
</file>