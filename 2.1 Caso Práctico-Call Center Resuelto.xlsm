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riarte\Videos\Captures\CURSOS\REPOSITORIO DMC\AUTOMATIZACIÓN DE PROCESOS UTILIZANDO MACROS Y VBA EN EXCEL - EDICIÓN 18 - RICARDO CRISPÍN\CLASE 1\"/>
    </mc:Choice>
  </mc:AlternateContent>
  <bookViews>
    <workbookView xWindow="0" yWindow="0" windowWidth="23040" windowHeight="9192" activeTab="3"/>
  </bookViews>
  <sheets>
    <sheet name="Caso" sheetId="5" r:id="rId1"/>
    <sheet name="Formulario" sheetId="1" r:id="rId2"/>
    <sheet name="BD_Clientes" sheetId="2" r:id="rId3"/>
    <sheet name="BD_Interacción" sheetId="4" r:id="rId4"/>
    <sheet name="Catalogo" sheetId="3" r:id="rId5"/>
  </sheets>
  <definedNames>
    <definedName name="_xlnm._FilterDatabase" localSheetId="2" hidden="1">BD_Clientes!$A:$G</definedName>
    <definedName name="_xlnm.Extract" localSheetId="1">Formulario!$N$1:$T$2</definedName>
    <definedName name="bd">BD_Clientes!$A:$G</definedName>
    <definedName name="criterio1">Formulario!$N$5:$Q$6</definedName>
    <definedName name="_xlnm.Criteria" localSheetId="1">Formulario!$N$5:$Q$6</definedName>
    <definedName name="output">Formulario!$N$1:$T$2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1" l="1"/>
</calcChain>
</file>

<file path=xl/sharedStrings.xml><?xml version="1.0" encoding="utf-8"?>
<sst xmlns="http://schemas.openxmlformats.org/spreadsheetml/2006/main" count="81" uniqueCount="56">
  <si>
    <t>Nombre Cliente:</t>
  </si>
  <si>
    <t>DNI Cliente</t>
  </si>
  <si>
    <t>DNI Cliente:</t>
  </si>
  <si>
    <t>Campaña:</t>
  </si>
  <si>
    <t>Línea:</t>
  </si>
  <si>
    <t>Tasa:</t>
  </si>
  <si>
    <t>Datos del Cliente</t>
  </si>
  <si>
    <t>Detalle de la Gestión</t>
  </si>
  <si>
    <t>Contacto</t>
  </si>
  <si>
    <t>Respuesta 1:</t>
  </si>
  <si>
    <t>Respuesta 2:</t>
  </si>
  <si>
    <t>Contacto:</t>
  </si>
  <si>
    <t>ID:</t>
  </si>
  <si>
    <t>Celular:</t>
  </si>
  <si>
    <t>Detalle de la Campaña</t>
  </si>
  <si>
    <t>ID</t>
  </si>
  <si>
    <t>Nombre Cliente</t>
  </si>
  <si>
    <t>Celular</t>
  </si>
  <si>
    <t>Campaña</t>
  </si>
  <si>
    <t>Línea</t>
  </si>
  <si>
    <t>Tasa</t>
  </si>
  <si>
    <t>Respuesta 1</t>
  </si>
  <si>
    <t>Respuesta 2</t>
  </si>
  <si>
    <t>Fernandez Olivares, Edith Johana</t>
  </si>
  <si>
    <t>Rojas Cervantes, Rodolfo Isaac</t>
  </si>
  <si>
    <t>Salazar Carriquiry, Liliana Flor</t>
  </si>
  <si>
    <t>Matos Matos, Danilo Dante</t>
  </si>
  <si>
    <t>Quispe Ccopa, Jhoner Hans</t>
  </si>
  <si>
    <t>Ricaldi Ulloa, Frank Enrique</t>
  </si>
  <si>
    <t>Solis Nieves, Richard</t>
  </si>
  <si>
    <t>Garcia Gomez, Kelly Mayra</t>
  </si>
  <si>
    <t>Caceda Giraldo, Diego Alejandro</t>
  </si>
  <si>
    <t>Ramirez Hernández, Antonio David</t>
  </si>
  <si>
    <t>TC</t>
  </si>
  <si>
    <t>CD</t>
  </si>
  <si>
    <t>Contacto Efectivo</t>
  </si>
  <si>
    <t>Contacto No Efectivo</t>
  </si>
  <si>
    <t>No contactado</t>
  </si>
  <si>
    <t>Respuesta1</t>
  </si>
  <si>
    <t>Llamar más tarde</t>
  </si>
  <si>
    <t>No volver a llamar</t>
  </si>
  <si>
    <t>Acepto Ofrecimiento</t>
  </si>
  <si>
    <t>Telefono Errado</t>
  </si>
  <si>
    <t>Cliente Falleció</t>
  </si>
  <si>
    <t>Telefóno Bloqueado</t>
  </si>
  <si>
    <t>Teléfono Apagado</t>
  </si>
  <si>
    <t>No contesto</t>
  </si>
  <si>
    <t>Respuesta2</t>
  </si>
  <si>
    <t>Mejorar la línea</t>
  </si>
  <si>
    <t>Mejorar la tasa</t>
  </si>
  <si>
    <t>Lo pensará</t>
  </si>
  <si>
    <t>No acepta</t>
  </si>
  <si>
    <t>Si acepta</t>
  </si>
  <si>
    <t>Fecha_Hora</t>
  </si>
  <si>
    <t>.</t>
  </si>
  <si>
    <t>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</si>
</sst>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00000"/>
    <numFmt numFmtId="165" formatCode="00000000"/>
    <numFmt numFmtId="166" formatCode="_ [$S/-280A]\ * #,##0.00_ ;_ [$S/-280A]\ * \-#,##0.00_ ;_ [$S/-280A]\ * &quot;-&quot;??_ ;_ @_ "/>
    <numFmt numFmtId="168" formatCode="_-[$S/-280A]* #,##0.00_-;\-[$S/-280A]* #,##0.00_-;_-[$S/-280A]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9" fontId="0" fillId="0" borderId="0" xfId="1" applyFont="1"/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22" fontId="0" fillId="0" borderId="0" xfId="0" applyNumberFormat="1"/>
    <xf numFmtId="0" fontId="3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0" xfId="0" applyFont="1" applyAlignment="1">
      <alignment horizontal="center"/>
    </xf>
    <xf numFmtId="0" fontId="5" fillId="0" borderId="0" xfId="0" applyFont="1"/>
    <xf numFmtId="164" fontId="5" fillId="0" borderId="0" xfId="0" applyNumberFormat="1" applyFont="1"/>
    <xf numFmtId="165" fontId="5" fillId="0" borderId="0" xfId="0" applyNumberFormat="1" applyFont="1"/>
    <xf numFmtId="166" fontId="5" fillId="0" borderId="0" xfId="0" applyNumberFormat="1" applyFont="1"/>
    <xf numFmtId="9" fontId="5" fillId="0" borderId="0" xfId="1" applyFont="1"/>
    <xf numFmtId="0" fontId="0" fillId="2" borderId="0" xfId="0" applyFill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8" fontId="0" fillId="0" borderId="0" xfId="0" applyNumberFormat="1"/>
    <xf numFmtId="10" fontId="0" fillId="0" borderId="0" xfId="0" applyNumberFormat="1"/>
  </cellXfs>
  <cellStyles count="2">
    <cellStyle name="Normal" xfId="0" builtinId="0"/>
    <cellStyle name="Porcentaje" xfId="1" builtinId="5"/>
  </cellStyles>
  <dxfs count="6">
    <dxf>
      <numFmt numFmtId="13" formatCode="0%"/>
      <alignment horizontal="center" vertical="center" textRotation="0" wrapText="0" indent="0" justifyLastLine="0" shrinkToFit="0" readingOrder="0"/>
    </dxf>
    <dxf>
      <numFmt numFmtId="166" formatCode="_ [$S/-280A]\ * #,##0.00_ ;_ [$S/-280A]\ * \-#,##0.00_ ;_ [$S/-280A]\ * &quot;-&quot;??_ ;_ 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0000000"/>
    </dxf>
    <dxf>
      <numFmt numFmtId="164" formatCode="000000"/>
    </dxf>
    <dxf>
      <numFmt numFmtId="27" formatCode="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733425</xdr:colOff>
      <xdr:row>4</xdr:row>
      <xdr:rowOff>152399</xdr:rowOff>
    </xdr:from>
    <xdr:to>
      <xdr:col>9</xdr:col>
      <xdr:colOff>28575</xdr:colOff>
      <xdr:row>23</xdr:row>
      <xdr:rowOff>161925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33425" y="914399"/>
          <a:ext cx="6153150" cy="3629026"/>
        </a:xfrm>
        <a:prstGeom prst="rect">
          <a:avLst/>
        </a:prstGeom>
        <a:ln w="762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800"/>
            <a:t>Uno de los Rubros Empresariales</a:t>
          </a:r>
          <a:r>
            <a:rPr lang="es-PE" sz="1800" baseline="0"/>
            <a:t> de mayor desarrollo en los últimos años en el Perú es el de Telemarketing. La gran cantidad de productos y servicios que se ofrecen por el medio telefónico y la gran cantidad de recursos que se utilizan para llevar a cabo la gestion de ventas ha permitido el desarrollo de soluciones informáticas para la correcta gestión de información.</a:t>
          </a:r>
        </a:p>
        <a:p>
          <a:endParaRPr lang="es-PE" sz="1800" baseline="0"/>
        </a:p>
        <a:p>
          <a:r>
            <a:rPr lang="es-PE" sz="1800" baseline="0"/>
            <a:t>La presente evaluación consiste en desarrollar un sistema de gestión de clientes que permita la búsqueda de la información del cliente y el registro de la interacción con el cliente en la llamada.</a:t>
          </a:r>
          <a:endParaRPr lang="es-PE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8</xdr:row>
          <xdr:rowOff>30480</xdr:rowOff>
        </xdr:from>
        <xdr:to>
          <xdr:col>8</xdr:col>
          <xdr:colOff>403860</xdr:colOff>
          <xdr:row>9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21</xdr:row>
          <xdr:rowOff>38100</xdr:rowOff>
        </xdr:from>
        <xdr:to>
          <xdr:col>8</xdr:col>
          <xdr:colOff>388620</xdr:colOff>
          <xdr:row>22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9489</xdr:colOff>
      <xdr:row>1</xdr:row>
      <xdr:rowOff>66055</xdr:rowOff>
    </xdr:from>
    <xdr:to>
      <xdr:col>8</xdr:col>
      <xdr:colOff>689741</xdr:colOff>
      <xdr:row>5</xdr:row>
      <xdr:rowOff>171889</xdr:rowOff>
    </xdr:to>
    <xdr:pic>
      <xdr:nvPicPr>
        <xdr:cNvPr id="4" name="Imagen 3" descr="Resultado de imagen para call center log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793" b="25287"/>
        <a:stretch/>
      </xdr:blipFill>
      <xdr:spPr bwMode="auto">
        <a:xfrm>
          <a:off x="2643644" y="355089"/>
          <a:ext cx="5705511" cy="8678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K4" totalsRowShown="0">
  <autoFilter ref="A1:K4"/>
  <tableColumns count="11">
    <tableColumn id="1" name="Fecha_Hora" dataDxfId="5"/>
    <tableColumn id="2" name="ID" dataDxfId="4"/>
    <tableColumn id="3" name="Nombre Cliente"/>
    <tableColumn id="4" name="DNI Cliente" dataDxfId="3"/>
    <tableColumn id="5" name="Celular"/>
    <tableColumn id="6" name="Campaña" dataDxfId="2"/>
    <tableColumn id="7" name="Línea" dataDxfId="1"/>
    <tableColumn id="8" name="Tasa" dataDxfId="0"/>
    <tableColumn id="9" name="Contacto"/>
    <tableColumn id="10" name="Respuesta 1"/>
    <tableColumn id="11" name="Respuesta 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showGridLines="0" workbookViewId="0">
      <selection activeCell="L18" sqref="L1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26"/>
  <sheetViews>
    <sheetView showGridLines="0" showRowColHeaders="0" zoomScale="115" zoomScaleNormal="115" workbookViewId="0">
      <selection activeCell="E9" sqref="E9"/>
    </sheetView>
  </sheetViews>
  <sheetFormatPr baseColWidth="10" defaultColWidth="0" defaultRowHeight="14.4" zeroHeight="1" x14ac:dyDescent="0.3"/>
  <cols>
    <col min="1" max="1" width="15.6640625" customWidth="1"/>
    <col min="2" max="2" width="23.6640625" customWidth="1"/>
    <col min="3" max="3" width="11.5546875" customWidth="1"/>
    <col min="4" max="4" width="17.44140625" customWidth="1"/>
    <col min="5" max="5" width="28.109375" customWidth="1"/>
    <col min="6" max="6" width="11.5546875" customWidth="1"/>
    <col min="7" max="7" width="3.109375" customWidth="1"/>
    <col min="8" max="8" width="3.5546875" customWidth="1"/>
    <col min="9" max="10" width="11.5546875" customWidth="1"/>
    <col min="11" max="12" width="11.5546875" hidden="1" customWidth="1"/>
    <col min="13" max="13" width="103.5546875" hidden="1" customWidth="1"/>
    <col min="14" max="14" width="11.5546875" style="10" hidden="1" customWidth="1"/>
    <col min="15" max="15" width="11.44140625" style="10" hidden="1" customWidth="1"/>
    <col min="16" max="17" width="11.5546875" style="10" hidden="1" customWidth="1"/>
    <col min="18" max="18" width="11.44140625" style="10" hidden="1" customWidth="1"/>
    <col min="19" max="19" width="13" style="10" hidden="1" customWidth="1"/>
    <col min="20" max="20" width="11.5546875" style="10" hidden="1" customWidth="1"/>
    <col min="21" max="23" width="11.44140625" style="10" hidden="1" customWidth="1"/>
    <col min="24" max="16384" width="11.5546875" hidden="1"/>
  </cols>
  <sheetData>
    <row r="1" spans="1:21" ht="23.1" customHeight="1" thickBot="1" x14ac:dyDescent="0.35">
      <c r="A1" s="26"/>
      <c r="B1" s="26"/>
      <c r="C1" s="26"/>
      <c r="D1" s="26"/>
      <c r="E1" s="26"/>
      <c r="F1" s="26"/>
      <c r="G1" s="26"/>
      <c r="H1" s="26"/>
      <c r="I1" s="26"/>
      <c r="J1" s="26"/>
      <c r="N1" s="20"/>
      <c r="O1" s="20"/>
      <c r="P1" s="20"/>
      <c r="Q1" s="20"/>
      <c r="R1" s="21"/>
      <c r="S1" s="21"/>
      <c r="T1" s="21"/>
      <c r="U1" s="21"/>
    </row>
    <row r="2" spans="1:21" x14ac:dyDescent="0.3">
      <c r="A2" s="26"/>
      <c r="B2" s="26"/>
      <c r="C2" s="11"/>
      <c r="D2" s="12"/>
      <c r="E2" s="12"/>
      <c r="F2" s="12"/>
      <c r="G2" s="12"/>
      <c r="H2" s="12"/>
      <c r="I2" s="13"/>
      <c r="J2" s="26"/>
      <c r="N2" s="22"/>
      <c r="O2" s="21"/>
      <c r="P2" s="23"/>
      <c r="Q2" s="21"/>
      <c r="R2" s="21"/>
      <c r="S2" s="24"/>
      <c r="T2" s="25"/>
      <c r="U2" s="21"/>
    </row>
    <row r="3" spans="1:21" x14ac:dyDescent="0.3">
      <c r="A3" s="26"/>
      <c r="B3" s="26"/>
      <c r="C3" s="14"/>
      <c r="I3" s="15"/>
      <c r="J3" s="26"/>
      <c r="N3" s="21"/>
      <c r="O3" s="21"/>
      <c r="P3" s="21"/>
      <c r="Q3" s="21"/>
      <c r="R3" s="21"/>
      <c r="S3" s="21"/>
      <c r="T3" s="21"/>
      <c r="U3" s="21"/>
    </row>
    <row r="4" spans="1:21" x14ac:dyDescent="0.3">
      <c r="A4" s="26"/>
      <c r="B4" s="26"/>
      <c r="C4" s="14"/>
      <c r="I4" s="15"/>
      <c r="J4" s="26"/>
      <c r="N4" s="21"/>
      <c r="O4" s="21"/>
      <c r="P4" s="21"/>
      <c r="Q4" s="21"/>
      <c r="R4" s="21"/>
      <c r="S4" s="21"/>
      <c r="T4" s="21"/>
      <c r="U4" s="21"/>
    </row>
    <row r="5" spans="1:21" x14ac:dyDescent="0.3">
      <c r="A5" s="26"/>
      <c r="B5" s="26"/>
      <c r="C5" s="14"/>
      <c r="I5" s="15"/>
      <c r="J5" s="26"/>
      <c r="N5" s="20"/>
      <c r="O5" s="20"/>
      <c r="P5" s="20"/>
      <c r="Q5" s="20"/>
      <c r="R5" s="21"/>
      <c r="S5" s="21"/>
      <c r="T5" s="21"/>
      <c r="U5" s="21"/>
    </row>
    <row r="6" spans="1:21" x14ac:dyDescent="0.3">
      <c r="A6" s="26"/>
      <c r="B6" s="26"/>
      <c r="C6" s="14"/>
      <c r="I6" s="15"/>
      <c r="J6" s="26"/>
      <c r="N6" s="22"/>
      <c r="O6" s="21"/>
      <c r="P6" s="23"/>
      <c r="Q6" s="21"/>
      <c r="R6" s="21"/>
      <c r="S6" s="21"/>
      <c r="T6" s="21"/>
      <c r="U6" s="21"/>
    </row>
    <row r="7" spans="1:21" x14ac:dyDescent="0.3">
      <c r="A7" s="26"/>
      <c r="B7" s="26"/>
      <c r="C7" s="14"/>
      <c r="D7" s="27" t="s">
        <v>6</v>
      </c>
      <c r="E7" s="28"/>
      <c r="F7" s="28"/>
      <c r="G7" s="28"/>
      <c r="H7" s="29"/>
      <c r="I7" s="15"/>
      <c r="J7" s="26"/>
    </row>
    <row r="8" spans="1:21" x14ac:dyDescent="0.3">
      <c r="A8" s="26"/>
      <c r="B8" s="26"/>
      <c r="C8" s="14"/>
      <c r="I8" s="15"/>
      <c r="J8" s="26"/>
    </row>
    <row r="9" spans="1:21" x14ac:dyDescent="0.3">
      <c r="A9" s="26"/>
      <c r="B9" s="26"/>
      <c r="C9" s="14"/>
      <c r="D9" s="16" t="s">
        <v>12</v>
      </c>
      <c r="E9" s="2"/>
      <c r="I9" s="15"/>
      <c r="J9" s="26"/>
    </row>
    <row r="10" spans="1:21" x14ac:dyDescent="0.3">
      <c r="A10" s="26"/>
      <c r="B10" s="26"/>
      <c r="C10" s="14"/>
      <c r="D10" s="16" t="s">
        <v>0</v>
      </c>
      <c r="I10" s="15"/>
      <c r="J10" s="26"/>
    </row>
    <row r="11" spans="1:21" x14ac:dyDescent="0.3">
      <c r="A11" s="26"/>
      <c r="B11" s="26"/>
      <c r="C11" s="14"/>
      <c r="D11" s="16" t="s">
        <v>2</v>
      </c>
      <c r="I11" s="15"/>
      <c r="J11" s="26"/>
    </row>
    <row r="12" spans="1:21" x14ac:dyDescent="0.3">
      <c r="A12" s="26"/>
      <c r="B12" s="26"/>
      <c r="C12" s="14"/>
      <c r="D12" s="16" t="s">
        <v>13</v>
      </c>
      <c r="I12" s="15"/>
      <c r="J12" s="26" t="e">
        <f>VLOOKUP($E$9,bd,2,0)</f>
        <v>#N/A</v>
      </c>
    </row>
    <row r="13" spans="1:21" x14ac:dyDescent="0.3">
      <c r="A13" s="26"/>
      <c r="B13" s="26"/>
      <c r="C13" s="14"/>
      <c r="I13" s="15"/>
      <c r="J13" s="26"/>
    </row>
    <row r="14" spans="1:21" x14ac:dyDescent="0.3">
      <c r="A14" s="26"/>
      <c r="B14" s="26"/>
      <c r="C14" s="14"/>
      <c r="D14" s="27" t="s">
        <v>14</v>
      </c>
      <c r="E14" s="28"/>
      <c r="F14" s="28"/>
      <c r="G14" s="28"/>
      <c r="H14" s="29"/>
      <c r="I14" s="15"/>
      <c r="J14" s="26"/>
    </row>
    <row r="15" spans="1:21" x14ac:dyDescent="0.3">
      <c r="A15" s="26"/>
      <c r="B15" s="26"/>
      <c r="C15" s="14"/>
      <c r="I15" s="15"/>
      <c r="J15" s="26"/>
    </row>
    <row r="16" spans="1:21" x14ac:dyDescent="0.3">
      <c r="A16" s="26"/>
      <c r="B16" s="26"/>
      <c r="C16" s="14"/>
      <c r="D16" s="16" t="s">
        <v>3</v>
      </c>
      <c r="I16" s="15"/>
      <c r="J16" s="26"/>
    </row>
    <row r="17" spans="1:10" x14ac:dyDescent="0.3">
      <c r="A17" s="26"/>
      <c r="B17" s="26"/>
      <c r="C17" s="14"/>
      <c r="D17" s="16" t="s">
        <v>4</v>
      </c>
      <c r="E17" s="30"/>
      <c r="I17" s="15"/>
      <c r="J17" s="26"/>
    </row>
    <row r="18" spans="1:10" x14ac:dyDescent="0.3">
      <c r="A18" s="26"/>
      <c r="B18" s="26"/>
      <c r="C18" s="14"/>
      <c r="D18" s="16" t="s">
        <v>5</v>
      </c>
      <c r="E18" s="31"/>
      <c r="I18" s="15"/>
      <c r="J18" s="26"/>
    </row>
    <row r="19" spans="1:10" x14ac:dyDescent="0.3">
      <c r="A19" s="26"/>
      <c r="B19" s="26"/>
      <c r="C19" s="14"/>
      <c r="I19" s="15"/>
      <c r="J19" s="26"/>
    </row>
    <row r="20" spans="1:10" x14ac:dyDescent="0.3">
      <c r="A20" s="26"/>
      <c r="B20" s="26"/>
      <c r="C20" s="14"/>
      <c r="D20" s="27" t="s">
        <v>7</v>
      </c>
      <c r="E20" s="28"/>
      <c r="F20" s="28"/>
      <c r="G20" s="28"/>
      <c r="H20" s="29"/>
      <c r="I20" s="15"/>
      <c r="J20" s="26"/>
    </row>
    <row r="21" spans="1:10" x14ac:dyDescent="0.3">
      <c r="A21" s="26"/>
      <c r="B21" s="26"/>
      <c r="C21" s="14"/>
      <c r="I21" s="15"/>
      <c r="J21" s="26"/>
    </row>
    <row r="22" spans="1:10" x14ac:dyDescent="0.3">
      <c r="A22" s="26"/>
      <c r="B22" s="26"/>
      <c r="C22" s="14"/>
      <c r="D22" s="16" t="s">
        <v>11</v>
      </c>
      <c r="E22" s="20"/>
      <c r="I22" s="15"/>
      <c r="J22" s="26"/>
    </row>
    <row r="23" spans="1:10" x14ac:dyDescent="0.3">
      <c r="A23" s="26"/>
      <c r="B23" s="26"/>
      <c r="C23" s="14"/>
      <c r="D23" s="16" t="s">
        <v>9</v>
      </c>
      <c r="E23" s="20"/>
      <c r="I23" s="15"/>
      <c r="J23" s="26"/>
    </row>
    <row r="24" spans="1:10" x14ac:dyDescent="0.3">
      <c r="A24" s="26"/>
      <c r="B24" s="26"/>
      <c r="C24" s="14"/>
      <c r="D24" s="16" t="s">
        <v>10</v>
      </c>
      <c r="E24" s="20"/>
      <c r="I24" s="15"/>
      <c r="J24" s="26"/>
    </row>
    <row r="25" spans="1:10" ht="15" thickBot="1" x14ac:dyDescent="0.35">
      <c r="A25" s="26"/>
      <c r="B25" s="26"/>
      <c r="C25" s="17"/>
      <c r="D25" s="18"/>
      <c r="E25" s="18"/>
      <c r="F25" s="18"/>
      <c r="G25" s="18"/>
      <c r="H25" s="18"/>
      <c r="I25" s="19"/>
      <c r="J25" s="26"/>
    </row>
    <row r="26" spans="1:10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</row>
  </sheetData>
  <mergeCells count="3">
    <mergeCell ref="D7:H7"/>
    <mergeCell ref="D14:H14"/>
    <mergeCell ref="D20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UPRO">
                <anchor moveWithCells="1" sizeWithCells="1">
                  <from>
                    <xdr:col>6</xdr:col>
                    <xdr:colOff>213360</xdr:colOff>
                    <xdr:row>8</xdr:row>
                    <xdr:rowOff>30480</xdr:rowOff>
                  </from>
                  <to>
                    <xdr:col>8</xdr:col>
                    <xdr:colOff>403860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LENAR">
                <anchor moveWithCells="1" sizeWithCells="1">
                  <from>
                    <xdr:col>6</xdr:col>
                    <xdr:colOff>213360</xdr:colOff>
                    <xdr:row>21</xdr:row>
                    <xdr:rowOff>38100</xdr:rowOff>
                  </from>
                  <to>
                    <xdr:col>8</xdr:col>
                    <xdr:colOff>388620</xdr:colOff>
                    <xdr:row>22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Catalogo!$B$5:$B$7</xm:f>
          </x14:formula1>
          <xm:sqref>E22</xm:sqref>
        </x14:dataValidation>
        <x14:dataValidation type="list" allowBlank="1" showInputMessage="1" showErrorMessage="1">
          <x14:formula1>
            <xm:f>Catalogo!$D$5:$D$12</xm:f>
          </x14:formula1>
          <xm:sqref>E23</xm:sqref>
        </x14:dataValidation>
        <x14:dataValidation type="list" allowBlank="1" showInputMessage="1" showErrorMessage="1">
          <x14:formula1>
            <xm:f>Catalogo!$F$5:$F$9</xm:f>
          </x14:formula1>
          <xm:sqref>E24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12"/>
  <sheetViews>
    <sheetView zoomScale="145" zoomScaleNormal="145" workbookViewId="0">
      <selection activeCell="G1" sqref="G1:G1048576"/>
    </sheetView>
  </sheetViews>
  <sheetFormatPr baseColWidth="10" defaultRowHeight="14.4" x14ac:dyDescent="0.3"/>
  <cols>
    <col min="1" max="1" width="9.5546875" style="2" customWidth="1"/>
    <col min="2" max="2" width="32.33203125" bestFit="1" customWidth="1"/>
    <col min="3" max="3" width="11.109375" style="3" bestFit="1" customWidth="1"/>
    <col min="4" max="4" width="10" bestFit="1" customWidth="1"/>
    <col min="5" max="5" width="9.109375" bestFit="1" customWidth="1"/>
    <col min="6" max="6" width="12.6640625" style="4" bestFit="1" customWidth="1"/>
    <col min="7" max="7" width="9.5546875" style="5" customWidth="1"/>
  </cols>
  <sheetData>
    <row r="1" spans="1:10" x14ac:dyDescent="0.3">
      <c r="A1" s="1" t="s">
        <v>15</v>
      </c>
      <c r="B1" s="1" t="s">
        <v>16</v>
      </c>
      <c r="C1" s="1" t="s">
        <v>1</v>
      </c>
      <c r="D1" s="1" t="s">
        <v>17</v>
      </c>
      <c r="E1" t="s">
        <v>18</v>
      </c>
      <c r="F1" t="s">
        <v>19</v>
      </c>
      <c r="G1" t="s">
        <v>20</v>
      </c>
    </row>
    <row r="2" spans="1:10" x14ac:dyDescent="0.3">
      <c r="A2" s="2">
        <v>1</v>
      </c>
      <c r="B2" t="s">
        <v>23</v>
      </c>
      <c r="C2" s="3">
        <v>263457</v>
      </c>
      <c r="D2">
        <v>956465855</v>
      </c>
      <c r="E2" t="s">
        <v>33</v>
      </c>
      <c r="F2" s="4">
        <v>6200</v>
      </c>
      <c r="G2" s="5">
        <v>0.25</v>
      </c>
    </row>
    <row r="3" spans="1:10" x14ac:dyDescent="0.3">
      <c r="A3" s="2">
        <v>2</v>
      </c>
      <c r="B3" t="s">
        <v>24</v>
      </c>
      <c r="C3" s="3">
        <v>54263457</v>
      </c>
      <c r="D3">
        <v>956465856</v>
      </c>
      <c r="E3" t="s">
        <v>55</v>
      </c>
      <c r="F3" s="4">
        <v>50000</v>
      </c>
      <c r="G3" s="5">
        <v>0.15</v>
      </c>
      <c r="J3" s="3"/>
    </row>
    <row r="4" spans="1:10" x14ac:dyDescent="0.3">
      <c r="A4" s="2">
        <v>3</v>
      </c>
      <c r="B4" t="s">
        <v>25</v>
      </c>
      <c r="C4" s="3">
        <v>26186547</v>
      </c>
      <c r="D4">
        <v>956465857</v>
      </c>
      <c r="E4" t="s">
        <v>33</v>
      </c>
      <c r="F4" s="4">
        <v>16200</v>
      </c>
      <c r="G4" s="5">
        <v>0.22</v>
      </c>
      <c r="J4" s="3"/>
    </row>
    <row r="5" spans="1:10" x14ac:dyDescent="0.3">
      <c r="A5" s="2">
        <v>4</v>
      </c>
      <c r="B5" t="s">
        <v>26</v>
      </c>
      <c r="C5" s="3">
        <v>27654698</v>
      </c>
      <c r="D5">
        <v>956465858</v>
      </c>
      <c r="E5" t="s">
        <v>33</v>
      </c>
      <c r="F5" s="4">
        <v>1200</v>
      </c>
      <c r="G5" s="5">
        <v>0.56999999999999995</v>
      </c>
      <c r="J5" s="3"/>
    </row>
    <row r="6" spans="1:10" x14ac:dyDescent="0.3">
      <c r="A6" s="2">
        <v>5</v>
      </c>
      <c r="B6" t="s">
        <v>27</v>
      </c>
      <c r="C6" s="3">
        <v>48954254</v>
      </c>
      <c r="D6">
        <v>956465859</v>
      </c>
      <c r="E6" t="s">
        <v>34</v>
      </c>
      <c r="F6" s="4">
        <v>6000</v>
      </c>
      <c r="G6" s="5">
        <v>0.15</v>
      </c>
      <c r="J6" s="3"/>
    </row>
    <row r="7" spans="1:10" x14ac:dyDescent="0.3">
      <c r="A7" s="2">
        <v>6</v>
      </c>
      <c r="B7" t="s">
        <v>28</v>
      </c>
      <c r="C7" s="3">
        <v>46896552</v>
      </c>
      <c r="D7">
        <v>956465860</v>
      </c>
      <c r="E7" t="s">
        <v>55</v>
      </c>
      <c r="F7" s="4">
        <v>60000</v>
      </c>
      <c r="G7" s="5">
        <v>0.16</v>
      </c>
      <c r="J7" s="3"/>
    </row>
    <row r="8" spans="1:10" x14ac:dyDescent="0.3">
      <c r="A8" s="2">
        <v>7</v>
      </c>
      <c r="B8" t="s">
        <v>29</v>
      </c>
      <c r="C8" s="3">
        <v>75352454</v>
      </c>
      <c r="D8">
        <v>956465861</v>
      </c>
      <c r="E8" t="s">
        <v>33</v>
      </c>
      <c r="F8" s="4">
        <v>10000</v>
      </c>
      <c r="G8" s="5">
        <v>0.65</v>
      </c>
      <c r="J8" s="3"/>
    </row>
    <row r="9" spans="1:10" x14ac:dyDescent="0.3">
      <c r="A9" s="2">
        <v>8</v>
      </c>
      <c r="B9" t="s">
        <v>30</v>
      </c>
      <c r="C9" s="3">
        <v>75321352</v>
      </c>
      <c r="D9">
        <v>956465862</v>
      </c>
      <c r="E9" t="s">
        <v>33</v>
      </c>
      <c r="F9" s="4">
        <v>25000</v>
      </c>
      <c r="G9" s="5">
        <v>0.41</v>
      </c>
      <c r="J9" s="3"/>
    </row>
    <row r="10" spans="1:10" x14ac:dyDescent="0.3">
      <c r="A10" s="2">
        <v>9</v>
      </c>
      <c r="B10" t="s">
        <v>31</v>
      </c>
      <c r="C10" s="3">
        <v>13548765</v>
      </c>
      <c r="D10">
        <v>956465863</v>
      </c>
      <c r="E10" t="s">
        <v>34</v>
      </c>
      <c r="F10" s="4">
        <v>18000</v>
      </c>
      <c r="G10" s="5">
        <v>0.14000000000000001</v>
      </c>
      <c r="J10" s="3"/>
    </row>
    <row r="11" spans="1:10" x14ac:dyDescent="0.3">
      <c r="A11" s="2">
        <v>10</v>
      </c>
      <c r="B11" t="s">
        <v>32</v>
      </c>
      <c r="C11" s="3">
        <v>2354654</v>
      </c>
      <c r="D11">
        <v>956465864</v>
      </c>
      <c r="E11" t="s">
        <v>55</v>
      </c>
      <c r="F11" s="4">
        <v>55000</v>
      </c>
      <c r="G11" s="5">
        <v>0.16</v>
      </c>
      <c r="J11" s="3"/>
    </row>
    <row r="12" spans="1:10" x14ac:dyDescent="0.3">
      <c r="J12" s="3"/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K5"/>
  <sheetViews>
    <sheetView tabSelected="1" zoomScale="130" zoomScaleNormal="130" workbookViewId="0">
      <selection activeCell="E10" sqref="E10"/>
    </sheetView>
  </sheetViews>
  <sheetFormatPr baseColWidth="10" defaultRowHeight="14.4" x14ac:dyDescent="0.3"/>
  <cols>
    <col min="1" max="1" width="24.6640625" customWidth="1"/>
    <col min="3" max="3" width="16" customWidth="1"/>
    <col min="4" max="4" width="12.33203125" customWidth="1"/>
    <col min="7" max="7" width="13.5546875" customWidth="1"/>
    <col min="10" max="11" width="12.88671875" customWidth="1"/>
  </cols>
  <sheetData>
    <row r="1" spans="1:11" x14ac:dyDescent="0.3">
      <c r="A1" t="s">
        <v>53</v>
      </c>
      <c r="B1" s="1" t="s">
        <v>15</v>
      </c>
      <c r="C1" s="1" t="s">
        <v>16</v>
      </c>
      <c r="D1" s="1" t="s">
        <v>1</v>
      </c>
      <c r="E1" s="1" t="s">
        <v>17</v>
      </c>
      <c r="F1" t="s">
        <v>18</v>
      </c>
      <c r="G1" t="s">
        <v>19</v>
      </c>
      <c r="H1" t="s">
        <v>20</v>
      </c>
      <c r="I1" t="s">
        <v>8</v>
      </c>
      <c r="J1" t="s">
        <v>21</v>
      </c>
      <c r="K1" t="s">
        <v>22</v>
      </c>
    </row>
    <row r="2" spans="1:11" x14ac:dyDescent="0.3">
      <c r="A2" s="9">
        <v>45220.051974884256</v>
      </c>
      <c r="B2" s="2">
        <v>5</v>
      </c>
      <c r="C2" t="s">
        <v>27</v>
      </c>
      <c r="D2">
        <v>48954254</v>
      </c>
      <c r="E2">
        <v>956465859</v>
      </c>
      <c r="F2" t="s">
        <v>34</v>
      </c>
      <c r="G2" s="30">
        <v>6000</v>
      </c>
      <c r="H2" s="31">
        <v>0.15</v>
      </c>
      <c r="I2" t="s">
        <v>37</v>
      </c>
      <c r="J2" t="s">
        <v>41</v>
      </c>
      <c r="K2" t="s">
        <v>49</v>
      </c>
    </row>
    <row r="3" spans="1:11" x14ac:dyDescent="0.3">
      <c r="A3" s="9">
        <v>45220.051139814816</v>
      </c>
      <c r="B3" s="2">
        <v>5</v>
      </c>
      <c r="C3" t="s">
        <v>27</v>
      </c>
      <c r="D3">
        <v>48954254</v>
      </c>
      <c r="E3">
        <v>956465859</v>
      </c>
      <c r="F3" t="s">
        <v>34</v>
      </c>
      <c r="G3" s="30">
        <v>6000</v>
      </c>
      <c r="H3" s="31">
        <v>0.15</v>
      </c>
      <c r="I3" t="s">
        <v>35</v>
      </c>
      <c r="J3" t="s">
        <v>42</v>
      </c>
      <c r="K3" t="s">
        <v>51</v>
      </c>
    </row>
    <row r="4" spans="1:11" x14ac:dyDescent="0.3">
      <c r="A4" s="9" t="s">
        <v>54</v>
      </c>
      <c r="B4" s="2"/>
      <c r="D4" s="3"/>
      <c r="F4" s="6"/>
      <c r="G4" s="7"/>
      <c r="H4" s="8"/>
    </row>
    <row r="5" spans="1:11" x14ac:dyDescent="0.3">
      <c r="A5" s="9"/>
      <c r="B5" s="2"/>
      <c r="D5" s="3"/>
      <c r="F5" s="6"/>
      <c r="G5" s="7"/>
      <c r="H5" s="8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3:F12"/>
  <sheetViews>
    <sheetView workbookViewId="0">
      <selection activeCell="E18" sqref="E18"/>
    </sheetView>
  </sheetViews>
  <sheetFormatPr baseColWidth="10" defaultRowHeight="14.4" x14ac:dyDescent="0.3"/>
  <cols>
    <col min="2" max="2" width="18.6640625" customWidth="1"/>
  </cols>
  <sheetData>
    <row r="3" spans="2:6" x14ac:dyDescent="0.3">
      <c r="B3" t="s">
        <v>8</v>
      </c>
      <c r="D3" t="s">
        <v>38</v>
      </c>
      <c r="F3" t="s">
        <v>47</v>
      </c>
    </row>
    <row r="5" spans="2:6" x14ac:dyDescent="0.3">
      <c r="B5" t="s">
        <v>35</v>
      </c>
      <c r="D5" t="s">
        <v>39</v>
      </c>
      <c r="F5" t="s">
        <v>48</v>
      </c>
    </row>
    <row r="6" spans="2:6" x14ac:dyDescent="0.3">
      <c r="B6" t="s">
        <v>36</v>
      </c>
      <c r="D6" t="s">
        <v>40</v>
      </c>
      <c r="F6" t="s">
        <v>49</v>
      </c>
    </row>
    <row r="7" spans="2:6" x14ac:dyDescent="0.3">
      <c r="B7" t="s">
        <v>37</v>
      </c>
      <c r="D7" t="s">
        <v>41</v>
      </c>
      <c r="F7" t="s">
        <v>50</v>
      </c>
    </row>
    <row r="8" spans="2:6" x14ac:dyDescent="0.3">
      <c r="D8" t="s">
        <v>42</v>
      </c>
      <c r="F8" t="s">
        <v>51</v>
      </c>
    </row>
    <row r="9" spans="2:6" x14ac:dyDescent="0.3">
      <c r="D9" t="s">
        <v>43</v>
      </c>
      <c r="F9" t="s">
        <v>52</v>
      </c>
    </row>
    <row r="10" spans="2:6" x14ac:dyDescent="0.3">
      <c r="D10" t="s">
        <v>44</v>
      </c>
    </row>
    <row r="11" spans="2:6" x14ac:dyDescent="0.3">
      <c r="D11" t="s">
        <v>45</v>
      </c>
    </row>
    <row r="12" spans="2:6" x14ac:dyDescent="0.3">
      <c r="D12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Caso</vt:lpstr>
      <vt:lpstr>Formulario</vt:lpstr>
      <vt:lpstr>BD_Clientes</vt:lpstr>
      <vt:lpstr>BD_Interacción</vt:lpstr>
      <vt:lpstr>Catalogo</vt:lpstr>
      <vt:lpstr>Formulario!Área_de_extracción</vt:lpstr>
      <vt:lpstr>bd</vt:lpstr>
      <vt:lpstr>criterio1</vt:lpstr>
      <vt:lpstr>Formulario!Criterios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DANIEL RIVERO ARANDA</dc:creator>
  <cp:lastModifiedBy>Uriarte</cp:lastModifiedBy>
  <dcterms:created xsi:type="dcterms:W3CDTF">2019-06-29T17:16:40Z</dcterms:created>
  <dcterms:modified xsi:type="dcterms:W3CDTF">2023-10-21T06:21:19Z</dcterms:modified>
</cp:coreProperties>
</file>